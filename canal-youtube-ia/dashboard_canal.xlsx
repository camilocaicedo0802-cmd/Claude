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Videos" sheetId="2" state="visible" r:id="rId4"/>
    <sheet name="Ideas" sheetId="3" state="visible" r:id="rId5"/>
    <sheet name="Experimentos" sheetId="4" state="visible" r:id="rId6"/>
    <sheet name="Resumen" sheetId="5" state="visible" r:id="rId7"/>
    <sheet name="Referencias" sheetId="6" state="visible" r:id="rId8"/>
    <sheet name="Glosari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YouTube Studio &gt; Contenido &gt; video &gt; Estadísticas, 24 h después de publicar.</t>
        </r>
      </text>
    </comment>
    <comment ref="P1" authorId="0">
      <text>
        <r>
          <rPr>
            <sz val="10"/>
            <rFont val="Arial"/>
            <family val="2"/>
          </rPr>
          <t xml:space="preserve">Porcentaje de clics de las impresiones (Studio &gt; Alcance), a los 28 días. Escribe 0,045 para 4,5 %.</t>
        </r>
      </text>
    </comment>
    <comment ref="Q1" authorId="0">
      <text>
        <r>
          <rPr>
            <sz val="10"/>
            <rFont val="Arial"/>
            <family val="2"/>
          </rPr>
          <t xml:space="preserve">Duración media de visualización en minutos (Studio &gt; Interacción). 3:30 = 3,5.</t>
        </r>
      </text>
    </comment>
    <comment ref="S1" authorId="0">
      <text>
        <r>
          <rPr>
            <sz val="10"/>
            <rFont val="Arial"/>
            <family val="2"/>
          </rPr>
          <t xml:space="preserve">Porcentaje de espectadores que siguen viendo en el segundo 30 (curva de retención).</t>
        </r>
      </text>
    </comment>
    <comment ref="T1" authorId="0">
      <text>
        <r>
          <rPr>
            <sz val="10"/>
            <rFont val="Arial"/>
            <family val="2"/>
          </rPr>
          <t xml:space="preserve">Tiempo de visualización en horas (Studio). Solo las de largos cuentan para el Programa de Socios.</t>
        </r>
      </text>
    </comment>
    <comment ref="V1" authorId="0">
      <text>
        <r>
          <rPr>
            <sz val="10"/>
            <rFont val="Arial"/>
            <family val="2"/>
          </rPr>
          <t xml:space="preserve">Fuentes de tráfico (Studio &gt; Alcance): porcentaje de vistas desde la búsqueda de YouTube.</t>
        </r>
      </text>
    </comment>
    <comment ref="W1" authorId="0">
      <text>
        <r>
          <rPr>
            <sz val="10"/>
            <rFont val="Arial"/>
            <family val="2"/>
          </rPr>
          <t xml:space="preserve">Funciones de exploración + videos sugeridos.</t>
        </r>
      </text>
    </comment>
    <comment ref="Z1" authorId="0">
      <text>
        <r>
          <rPr>
            <sz val="10"/>
            <rFont val="Arial"/>
            <family val="2"/>
          </rPr>
          <t xml:space="preserve">Parte del costo mensual de herramientas imputada a este video (p. ej., 41 USD / videos del mes).</t>
        </r>
      </text>
    </comment>
    <comment ref="AC1" authorId="0">
      <text>
        <r>
          <rPr>
            <sz val="10"/>
            <rFont val="Arial"/>
            <family val="2"/>
          </rPr>
          <t xml:space="preserve">Lista de comprobación de la fase 10, sección 14, completa.</t>
        </r>
      </text>
    </comment>
    <comment ref="AG1" authorId="0">
      <text>
        <r>
          <rPr>
            <sz val="10"/>
            <rFont val="Arial"/>
            <family val="2"/>
          </rPr>
          <t xml:space="preserve">Mediana de vistas a 7 días de los 5 videos anteriores del mismo formato.</t>
        </r>
      </text>
    </comment>
    <comment ref="AJ1" authorId="0">
      <text>
        <r>
          <rPr>
            <sz val="10"/>
            <rFont val="Arial"/>
            <family val="2"/>
          </rPr>
          <t xml:space="preserve">Vistas a 28 días ÷ mediana de los 5 anteriores del mismo formato. Indicador principal.</t>
        </r>
      </text>
    </comment>
    <comment ref="AL1" authorId="0">
      <text>
        <r>
          <rPr>
            <sz val="10"/>
            <rFont val="Arial"/>
            <family val="2"/>
          </rPr>
          <t xml:space="preserve">Ganador: múltiplo 28 d ≥ umbral y % visto ≥ mediana del formato. Perdedor: múltiplo ≤ umbral inferior. Umbrales en Resumen.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Σ(puntos × peso) ÷ 5. Escala de 1 a 5 por criterio (fase 8).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Una regla pasa a ser norma cuando gana en 3 pruebas de temas distintos (fase 8, sección 6).</t>
        </r>
      </text>
    </comment>
  </commentList>
</comments>
</file>

<file path=xl/sharedStrings.xml><?xml version="1.0" encoding="utf-8"?>
<sst xmlns="http://schemas.openxmlformats.org/spreadsheetml/2006/main" count="553" uniqueCount="387">
  <si>
    <t xml:space="preserve">Dashboard de seguimiento del canal</t>
  </si>
  <si>
    <t xml:space="preserve">Fase 12 del proyecto. Documentación completa: 14-fase12-dashboard.md.</t>
  </si>
  <si>
    <t xml:space="preserve">Qué celdas rellenas</t>
  </si>
  <si>
    <t xml:space="preserve">• Texto azul = datos que escribes tú. Texto negro = fórmulas (no tocar). Texto verde = fórmulas que leen otra hoja.</t>
  </si>
  <si>
    <t xml:space="preserve">• Fondo amarillo = parámetros y datos de Studio que conviene revisar cada semana (hoja Resumen e Ideas).</t>
  </si>
  <si>
    <t xml:space="preserve">• Columnas con cabecera marrón (Videos, desde 'n_formato'): calculadas.</t>
  </si>
  <si>
    <t xml:space="preserve">Rutina</t>
  </si>
  <si>
    <t xml:space="preserve">1. Al publicar: fila del video en 'Videos' (estado, fecha, URL, duración, costo, horas de producción, cumplimiento).</t>
  </si>
  <si>
    <t xml:space="preserve">2. A las 24 h: vistas_24h. A los 7 días: vistas_7d y retencion_30s. A los 28 días: el resto de métricas de Studio.</t>
  </si>
  <si>
    <t xml:space="preserve">3. Cada experimento A/B: fila en 'Experimentos' con la hipótesis ANTES de empezar; el resultado al terminar.</t>
  </si>
  <si>
    <t xml:space="preserve">4. Cada semana: actualiza los datos amarillos de 'Resumen' con la pantalla 'Ganar dinero' de Studio.</t>
  </si>
  <si>
    <t xml:space="preserve">5. Cada mes: revisa 'Ideas' (vuelve a puntuar costo y demanda) y anota aprendizajes en la columna 'aprendizaje'.</t>
  </si>
  <si>
    <t xml:space="preserve">Cómo se identifica un ganador</t>
  </si>
  <si>
    <t xml:space="preserve">• Múltiplo = vistas a 28 días ÷ mediana de los 5 videos anteriores del mismo formato (largo o Short). Mismo método de la fase 1.</t>
  </si>
  <si>
    <t xml:space="preserve">• Ganador: múltiplo ≥ 1,5× y % visto ≥ mediana del formato. Perdedor: múltiplo ≤ 0,67×. A los 7 días se muestra como provisional.</t>
  </si>
  <si>
    <t xml:space="preserve">• Los primeros 5 videos de cada formato no tienen 5 anteriores: el múltiplo usa los que haya (1 a 4) y es poco fiable.</t>
  </si>
  <si>
    <t xml:space="preserve">• Un ganador se estudia (tema, título, miniatura, gancho) y su rasgo se convierte en hipótesis para el siguiente experimento.</t>
  </si>
  <si>
    <t xml:space="preserve">Ejemplo de fila en 'Videos' (valores ficticios, solo para mostrar el formato; no está en la hoja)</t>
  </si>
  <si>
    <t xml:space="preserve">id L1 | publicado | 2026-11-19 | Largo | P1 | La verdadera historia de La Llorona | la verdadera historia de la llorona | duracion_min 10,2 | vistas_24h 180 | vistas_7d 650 | vistas_28d 1.400 | impresiones_28d 21.000 | ctr_28d 5,1 % (escribe 0,051) | avd_min 3,6 | retencion_30s 68 % | horas_vistas_28d 84 | subs_ganados_28d 9 | trafico_busqueda 35 % | trafico_recomendaciones 40 % | trafico_shorts 10 % | costo_usd 20,5 | horas_produccion 36 | sin YPP | sí</t>
  </si>
  <si>
    <t xml:space="preserve">Las filas de L1 a L6 y S1 a S13 ya están creadas con las fechas previstas del plan de 90 días (estado 'planificado').</t>
  </si>
  <si>
    <t xml:space="preserve">Requisitos del Programa de Socios usados en 'Resumen': fase 10 (support.google.com/youtube/answer/72851 y /12843009, consulta 27-oct-2026).</t>
  </si>
  <si>
    <t xml:space="preserve">id</t>
  </si>
  <si>
    <t xml:space="preserve">estado_video</t>
  </si>
  <si>
    <t xml:space="preserve">fecha_publicacion</t>
  </si>
  <si>
    <t xml:space="preserve">formato</t>
  </si>
  <si>
    <t xml:space="preserve">pilar</t>
  </si>
  <si>
    <t xml:space="preserve">tema</t>
  </si>
  <si>
    <t xml:space="preserve">keyword_principal</t>
  </si>
  <si>
    <t xml:space="preserve">titulo</t>
  </si>
  <si>
    <t xml:space="preserve">concepto_miniatura</t>
  </si>
  <si>
    <t xml:space="preserve">url</t>
  </si>
  <si>
    <t xml:space="preserve">duracion_min</t>
  </si>
  <si>
    <t xml:space="preserve">vistas_24h</t>
  </si>
  <si>
    <t xml:space="preserve">vistas_7d</t>
  </si>
  <si>
    <t xml:space="preserve">vistas_28d</t>
  </si>
  <si>
    <t xml:space="preserve">impresiones_28d</t>
  </si>
  <si>
    <t xml:space="preserve">ctr_28d</t>
  </si>
  <si>
    <t xml:space="preserve">avd_min</t>
  </si>
  <si>
    <t xml:space="preserve">pct_visto</t>
  </si>
  <si>
    <t xml:space="preserve">retencion_30s</t>
  </si>
  <si>
    <t xml:space="preserve">horas_vistas_28d</t>
  </si>
  <si>
    <t xml:space="preserve">subs_ganados_28d</t>
  </si>
  <si>
    <t xml:space="preserve">trafico_busqueda</t>
  </si>
  <si>
    <t xml:space="preserve">trafico_recomendaciones</t>
  </si>
  <si>
    <t xml:space="preserve">trafico_shorts</t>
  </si>
  <si>
    <t xml:space="preserve">trafico_otros</t>
  </si>
  <si>
    <t xml:space="preserve">costo_usd</t>
  </si>
  <si>
    <t xml:space="preserve">horas_produccion</t>
  </si>
  <si>
    <t xml:space="preserve">estado_monetizacion</t>
  </si>
  <si>
    <t xml:space="preserve">cumplimiento_ok</t>
  </si>
  <si>
    <t xml:space="preserve">aprendizaje</t>
  </si>
  <si>
    <t xml:space="preserve">proximo_experimento</t>
  </si>
  <si>
    <t xml:space="preserve">n_formato (aux)</t>
  </si>
  <si>
    <t xml:space="preserve">mediana_prev5_7d</t>
  </si>
  <si>
    <t xml:space="preserve">multiplo_7d</t>
  </si>
  <si>
    <t xml:space="preserve">mediana_prev5_28d</t>
  </si>
  <si>
    <t xml:space="preserve">multiplo_28d</t>
  </si>
  <si>
    <t xml:space="preserve">mediana_pct_visto_formato</t>
  </si>
  <si>
    <t xml:space="preserve">clasificacion</t>
  </si>
  <si>
    <t xml:space="preserve">costo_por_mil_vistas</t>
  </si>
  <si>
    <t xml:space="preserve">subs_por_mil_vistas</t>
  </si>
  <si>
    <t xml:space="preserve">L1</t>
  </si>
  <si>
    <t xml:space="preserve">planificado</t>
  </si>
  <si>
    <t xml:space="preserve">Largo</t>
  </si>
  <si>
    <t xml:space="preserve">P1</t>
  </si>
  <si>
    <t xml:space="preserve">La verdadera historia de La Llorona</t>
  </si>
  <si>
    <t xml:space="preserve">la verdadera historia de la llorona</t>
  </si>
  <si>
    <t xml:space="preserve">La verdadera historia de La Llorona (según las crónicas)</t>
  </si>
  <si>
    <t xml:space="preserve">A: ¿EXISTIÓ? / B: ANTES DE 1519 / C: LO DICE AQUÍ</t>
  </si>
  <si>
    <t xml:space="preserve">S1</t>
  </si>
  <si>
    <t xml:space="preserve">Short</t>
  </si>
  <si>
    <t xml:space="preserve">Los mexicas oyeron a La Llorona antes de la conquista (según Sahagún)</t>
  </si>
  <si>
    <t xml:space="preserve">la llorona</t>
  </si>
  <si>
    <t xml:space="preserve">S2</t>
  </si>
  <si>
    <t xml:space="preserve">¿Cómo se llama La Llorona en tu país?</t>
  </si>
  <si>
    <t xml:space="preserve">L2</t>
  </si>
  <si>
    <t xml:space="preserve">P2</t>
  </si>
  <si>
    <t xml:space="preserve">¿Por qué Colombia se llama Colombia?</t>
  </si>
  <si>
    <t xml:space="preserve">historia de colombia</t>
  </si>
  <si>
    <t xml:space="preserve">A: ¿POR QUÉ ÉL? / B: ¿Y ANTES? / C: ERA TODO</t>
  </si>
  <si>
    <t xml:space="preserve">S3</t>
  </si>
  <si>
    <t xml:space="preserve">Colombia se llamó Estados Unidos de Colombia</t>
  </si>
  <si>
    <t xml:space="preserve">S4</t>
  </si>
  <si>
    <t xml:space="preserve">El nombre 'Colombia' era para todo el continente</t>
  </si>
  <si>
    <t xml:space="preserve">L3</t>
  </si>
  <si>
    <t xml:space="preserve">El Dorado: lo que sí existió</t>
  </si>
  <si>
    <t xml:space="preserve">el dorado leyenda</t>
  </si>
  <si>
    <t xml:space="preserve">El Dorado sí existió (pero no era una ciudad)</t>
  </si>
  <si>
    <t xml:space="preserve">A: NO ERA CIUDAD / B: ESTO SÍ / C: ¿DÓNDE ESTÁ?</t>
  </si>
  <si>
    <t xml:space="preserve">S5</t>
  </si>
  <si>
    <t xml:space="preserve">El Dorado no era una ciudad. Era un hombre</t>
  </si>
  <si>
    <t xml:space="preserve">el dorado</t>
  </si>
  <si>
    <t xml:space="preserve">S6</t>
  </si>
  <si>
    <t xml:space="preserve">Intentaron vaciar una laguna para sacar el oro</t>
  </si>
  <si>
    <t xml:space="preserve">laguna de guatavita</t>
  </si>
  <si>
    <t xml:space="preserve">L4</t>
  </si>
  <si>
    <t xml:space="preserve">El chupacabras: cómo nació un monstruo moderno</t>
  </si>
  <si>
    <t xml:space="preserve">la leyenda del chupacabras</t>
  </si>
  <si>
    <t xml:space="preserve">El chupacabras: cómo nació un monstruo en 1995</t>
  </si>
  <si>
    <t xml:space="preserve">A: NACIÓ EN 1995 / B: ¿REAL? / C: LO CREÓ LA TV</t>
  </si>
  <si>
    <t xml:space="preserve">S7</t>
  </si>
  <si>
    <t xml:space="preserve">El chupacabras tiene fecha de nacimiento</t>
  </si>
  <si>
    <t xml:space="preserve">chupacabras</t>
  </si>
  <si>
    <t xml:space="preserve">S8</t>
  </si>
  <si>
    <t xml:space="preserve">Quién le puso el nombre al chupacabras (verificar)</t>
  </si>
  <si>
    <t xml:space="preserve">S9</t>
  </si>
  <si>
    <t xml:space="preserve">Colombia lleva el nombre de alguien que nunca vino (solo si se verifica)</t>
  </si>
  <si>
    <t xml:space="preserve">L5</t>
  </si>
  <si>
    <t xml:space="preserve">¿De verdad unos cientos de españoles conquistaron a los mexicas?</t>
  </si>
  <si>
    <t xml:space="preserve">conquista de mexico</t>
  </si>
  <si>
    <t xml:space="preserve">¿De verdad 500 españoles conquistaron a los mexicas?</t>
  </si>
  <si>
    <t xml:space="preserve">A: ¿SOLO 500? / B: NO ESTABA SOLO / C: TODOS CONTRA…</t>
  </si>
  <si>
    <t xml:space="preserve">S10</t>
  </si>
  <si>
    <t xml:space="preserve">Cortés no conquistó México solo</t>
  </si>
  <si>
    <t xml:space="preserve">hernan cortes</t>
  </si>
  <si>
    <t xml:space="preserve">S11</t>
  </si>
  <si>
    <t xml:space="preserve">El arma más letal de la conquista no era una espada</t>
  </si>
  <si>
    <t xml:space="preserve">S12</t>
  </si>
  <si>
    <t xml:space="preserve">Ciudad de México está construida sobre un lago</t>
  </si>
  <si>
    <t xml:space="preserve">historia de mexico</t>
  </si>
  <si>
    <t xml:space="preserve">L6</t>
  </si>
  <si>
    <t xml:space="preserve">¿Por qué la Ciudad de México está sobre un lago?</t>
  </si>
  <si>
    <t xml:space="preserve">A: AQUÍ HABÍA AGUA / B: SE HUNDE / C: ¿POR QUÉ AQUÍ?</t>
  </si>
  <si>
    <t xml:space="preserve">S13</t>
  </si>
  <si>
    <t xml:space="preserve">La ciudad se hunde cada año (con fuente oficial)</t>
  </si>
  <si>
    <t xml:space="preserve">cdmx</t>
  </si>
  <si>
    <t xml:space="preserve">evidencia_demanda</t>
  </si>
  <si>
    <t xml:space="preserve">demanda</t>
  </si>
  <si>
    <t xml:space="preserve">curiosidad</t>
  </si>
  <si>
    <t xml:space="preserve">encaje_promesa</t>
  </si>
  <si>
    <t xml:space="preserve">evidencia_fuentes</t>
  </si>
  <si>
    <t xml:space="preserve">diferenciacion</t>
  </si>
  <si>
    <t xml:space="preserve">apta_anunciantes</t>
  </si>
  <si>
    <t xml:space="preserve">shorts_serie</t>
  </si>
  <si>
    <t xml:space="preserve">costo_bajo</t>
  </si>
  <si>
    <t xml:space="preserve">total_100</t>
  </si>
  <si>
    <t xml:space="preserve">decision</t>
  </si>
  <si>
    <t xml:space="preserve">estado</t>
  </si>
  <si>
    <t xml:space="preserve">video_id</t>
  </si>
  <si>
    <t xml:space="preserve">PESOS</t>
  </si>
  <si>
    <t xml:space="preserve">Pesos de la fase 8 (suman 100). Puedes cambiarlos: los totales se recalculan.</t>
  </si>
  <si>
    <t xml:space="preserve">I01</t>
  </si>
  <si>
    <t xml:space="preserve">Autocompletado MX/CO/AR; 'mitos y leyendas' 53.300 (comp. 42); 'leyendas mexicanas' 22.300 (+125 %)</t>
  </si>
  <si>
    <t xml:space="preserve">I02</t>
  </si>
  <si>
    <t xml:space="preserve">'historia de colombia' 40.400 (comp. 46, +142 %); la pregunta exacta sin medir</t>
  </si>
  <si>
    <t xml:space="preserve">I04</t>
  </si>
  <si>
    <t xml:space="preserve">Sin medir (pendiente de vidIQ en noviembre)</t>
  </si>
  <si>
    <t xml:space="preserve">I07</t>
  </si>
  <si>
    <t xml:space="preserve">Autocompletado MX/CO 'la leyenda del chupacabras'</t>
  </si>
  <si>
    <t xml:space="preserve">I05</t>
  </si>
  <si>
    <t xml:space="preserve">'hernan cortes' 26.200 (comp. 59); autocompletado 'porque los españoles conquistaron mexico'</t>
  </si>
  <si>
    <t xml:space="preserve">I10</t>
  </si>
  <si>
    <t xml:space="preserve">¿Por qué Panamá dejó de ser parte de Colombia?</t>
  </si>
  <si>
    <t xml:space="preserve">'historia de colombia' 40.400; la pregunta exacta sin medir</t>
  </si>
  <si>
    <t xml:space="preserve">pendiente</t>
  </si>
  <si>
    <t xml:space="preserve">I09</t>
  </si>
  <si>
    <t xml:space="preserve">¿Por qué la capital de México está sobre un lago?</t>
  </si>
  <si>
    <t xml:space="preserve">'historia de mexico' 58.900 (comp. 60, +141 %); la pregunta exacta sin medir</t>
  </si>
  <si>
    <t xml:space="preserve">I08</t>
  </si>
  <si>
    <t xml:space="preserve">Las momias de Guanajuato: la historia real</t>
  </si>
  <si>
    <t xml:space="preserve">momias de guanajuato</t>
  </si>
  <si>
    <t xml:space="preserve">Autocompletado MX/CO/AR 'la leyenda de las momias de guanajuato'</t>
  </si>
  <si>
    <t xml:space="preserve">I13</t>
  </si>
  <si>
    <t xml:space="preserve">¿Por qué los incas no escribían? (los quipus)</t>
  </si>
  <si>
    <t xml:space="preserve">los incas</t>
  </si>
  <si>
    <t xml:space="preserve">Autocompletado 'los incas' (mezclado con música y 'para niños')</t>
  </si>
  <si>
    <t xml:space="preserve">I03</t>
  </si>
  <si>
    <t xml:space="preserve">P3</t>
  </si>
  <si>
    <t xml:space="preserve">Así vivías si nacías en Tenochtitlan</t>
  </si>
  <si>
    <t xml:space="preserve">como vivian los aztecas</t>
  </si>
  <si>
    <t xml:space="preserve">'como vivian los aztecas' 4.500 (comp. 40); 'tenochtitlan' 21.500; 'los aztecas' 24.200 (+161 %)</t>
  </si>
  <si>
    <t xml:space="preserve">I06</t>
  </si>
  <si>
    <t xml:space="preserve">P4</t>
  </si>
  <si>
    <t xml:space="preserve">Una leyenda de cada país de Latinoamérica</t>
  </si>
  <si>
    <t xml:space="preserve">leyendas de cada pais</t>
  </si>
  <si>
    <t xml:space="preserve">Autocompletado 'leyendas de cada país' (+ 'de latam', Perú, Honduras, el Silbón)</t>
  </si>
  <si>
    <t xml:space="preserve">I14</t>
  </si>
  <si>
    <t xml:space="preserve">Así vivías en la Nueva España</t>
  </si>
  <si>
    <t xml:space="preserve">como era la vida en la nueva españa</t>
  </si>
  <si>
    <t xml:space="preserve">Autocompletado MX 'como era la vida en la nueva españa'</t>
  </si>
  <si>
    <t xml:space="preserve">I11</t>
  </si>
  <si>
    <t xml:space="preserve">El Silbón: de dónde sale la leyenda</t>
  </si>
  <si>
    <t xml:space="preserve">la leyenda del silbon</t>
  </si>
  <si>
    <t xml:space="preserve">Autocompletado CO 'la leyenda del silbón'; 'leyendas de cada país el silbón'</t>
  </si>
  <si>
    <t xml:space="preserve">I12</t>
  </si>
  <si>
    <t xml:space="preserve">La Patasola, el Mohán y la Madremonte</t>
  </si>
  <si>
    <t xml:space="preserve">leyendas de colombia</t>
  </si>
  <si>
    <t xml:space="preserve">Autocompletado 'leyendas de colombia la patasola'</t>
  </si>
  <si>
    <t xml:space="preserve">I15</t>
  </si>
  <si>
    <t xml:space="preserve">La Nahuala</t>
  </si>
  <si>
    <t xml:space="preserve">la leyenda de la nahuala</t>
  </si>
  <si>
    <t xml:space="preserve">Autocompletado MX/CO/AR, pero la intención es la película animada de 2007</t>
  </si>
  <si>
    <t xml:space="preserve">I16</t>
  </si>
  <si>
    <t xml:space="preserve">El Charro Negro</t>
  </si>
  <si>
    <t xml:space="preserve">la leyenda del charro negro</t>
  </si>
  <si>
    <t xml:space="preserve">Autocompletado MX/CO/AR, pero dominado por la película animada de 2018</t>
  </si>
  <si>
    <t xml:space="preserve">fecha_inicio</t>
  </si>
  <si>
    <t xml:space="preserve">tipo</t>
  </si>
  <si>
    <t xml:space="preserve">regla_que_se_prueba</t>
  </si>
  <si>
    <t xml:space="preserve">hipotesis</t>
  </si>
  <si>
    <t xml:space="preserve">variante_A</t>
  </si>
  <si>
    <t xml:space="preserve">variante_B</t>
  </si>
  <si>
    <t xml:space="preserve">variante_C</t>
  </si>
  <si>
    <t xml:space="preserve">metrica_de_decision</t>
  </si>
  <si>
    <t xml:space="preserve">resultado</t>
  </si>
  <si>
    <t xml:space="preserve">dato_resultado</t>
  </si>
  <si>
    <t xml:space="preserve">conclusion</t>
  </si>
  <si>
    <t xml:space="preserve">victorias_de_la_regla</t>
  </si>
  <si>
    <t xml:space="preserve">estado_de_la_regla</t>
  </si>
  <si>
    <t xml:space="preserve">H1</t>
  </si>
  <si>
    <t xml:space="preserve">A/B miniatura</t>
  </si>
  <si>
    <t xml:space="preserve">pregunta en miniatura</t>
  </si>
  <si>
    <t xml:space="preserve">La miniatura con pregunta (¿EXISTIÓ?) gana a la de afirmación (ANTES DE 1519) en tiempo de visualización</t>
  </si>
  <si>
    <t xml:space="preserve">¿EXISTIÓ?</t>
  </si>
  <si>
    <t xml:space="preserve">ANTES DE 1519</t>
  </si>
  <si>
    <t xml:space="preserve">LO DICE AQUÍ</t>
  </si>
  <si>
    <t xml:space="preserve">Resultado de Prueba y compara (tiempo de visualización)</t>
  </si>
  <si>
    <t xml:space="preserve">H2</t>
  </si>
  <si>
    <t xml:space="preserve">Pilar</t>
  </si>
  <si>
    <t xml:space="preserve">P2 trae más búsqueda</t>
  </si>
  <si>
    <t xml:space="preserve">Un '¿Por qué…?' de identidad nacional (P2) consigue más tráfico de búsqueda que una leyenda (P1)</t>
  </si>
  <si>
    <t xml:space="preserve">L2 (P2)</t>
  </si>
  <si>
    <t xml:space="preserve">L1 (P1)</t>
  </si>
  <si>
    <t xml:space="preserve">trafico_busqueda a 7 días</t>
  </si>
  <si>
    <t xml:space="preserve">H3</t>
  </si>
  <si>
    <t xml:space="preserve">A/B título</t>
  </si>
  <si>
    <t xml:space="preserve">título contraintuitivo</t>
  </si>
  <si>
    <t xml:space="preserve">El título contraintuitivo ('sí existió, pero no era una ciudad') gana a 'Lo que es verdad de El Dorado'</t>
  </si>
  <si>
    <t xml:space="preserve">Lo que es verdad de El Dorado</t>
  </si>
  <si>
    <t xml:space="preserve">Resultado de Prueba y compara</t>
  </si>
  <si>
    <t xml:space="preserve">H4</t>
  </si>
  <si>
    <t xml:space="preserve">Tema</t>
  </si>
  <si>
    <t xml:space="preserve">leyenda moderna con fecha</t>
  </si>
  <si>
    <t xml:space="preserve">Una leyenda moderna con fecha (1995) retiene más que una antigua (La Llorona)</t>
  </si>
  <si>
    <t xml:space="preserve">avd_min y pct_visto a 28 días</t>
  </si>
  <si>
    <t xml:space="preserve">H5</t>
  </si>
  <si>
    <t xml:space="preserve">debate sin polarización</t>
  </si>
  <si>
    <t xml:space="preserve">Un tema de debate tiene más comentarios sin pasar a la polarización</t>
  </si>
  <si>
    <t xml:space="preserve">mediana de largos anteriores</t>
  </si>
  <si>
    <t xml:space="preserve">Comentarios por 1.000 vistas y comentarios moderados</t>
  </si>
  <si>
    <t xml:space="preserve">Resumen del canal</t>
  </si>
  <si>
    <t xml:space="preserve">Celdas amarillas: las rellenas tú con datos de YouTube Studio. El resto se calcula solo.</t>
  </si>
  <si>
    <t xml:space="preserve">Parámetros</t>
  </si>
  <si>
    <t xml:space="preserve">Umbral de ganador (múltiplo a 28 días ≥)</t>
  </si>
  <si>
    <t xml:space="preserve">Fase 12. Mismo criterio de rendimiento relativo de la fase 1.</t>
  </si>
  <si>
    <t xml:space="preserve">Umbral de perdedor (múltiplo a 28 días ≤)</t>
  </si>
  <si>
    <t xml:space="preserve">Inverso de 1,5.</t>
  </si>
  <si>
    <t xml:space="preserve">Producción y alcance (suma de las cifras a 28 días de cada video)</t>
  </si>
  <si>
    <t xml:space="preserve">Largos</t>
  </si>
  <si>
    <t xml:space="preserve">Shorts</t>
  </si>
  <si>
    <t xml:space="preserve">Videos publicados (con URL)</t>
  </si>
  <si>
    <t xml:space="preserve">Vistas a 28 días (suma)</t>
  </si>
  <si>
    <t xml:space="preserve">Horas vistas a 28 días (suma)</t>
  </si>
  <si>
    <t xml:space="preserve">Suscriptores ganados a 28 días (suma)</t>
  </si>
  <si>
    <t xml:space="preserve">Horas de producción medias por video</t>
  </si>
  <si>
    <t xml:space="preserve">Costo imputado total (USD)</t>
  </si>
  <si>
    <t xml:space="preserve">Ganadores (incluye provisionales)</t>
  </si>
  <si>
    <t xml:space="preserve">Perdedores (incluye provisionales)</t>
  </si>
  <si>
    <t xml:space="preserve">Medianas por formato (videos con dato)</t>
  </si>
  <si>
    <t xml:space="preserve">CTR a 28 días</t>
  </si>
  <si>
    <t xml:space="preserve">Duración media vista (min)</t>
  </si>
  <si>
    <t xml:space="preserve">% visto</t>
  </si>
  <si>
    <t xml:space="preserve">Retención a 30 s</t>
  </si>
  <si>
    <t xml:space="preserve">Vistas a 28 días</t>
  </si>
  <si>
    <t xml:space="preserve">Múltiplo a 28 días</t>
  </si>
  <si>
    <t xml:space="preserve">Por pilar (solo largos)</t>
  </si>
  <si>
    <t xml:space="preserve">Largos con vistas a 28 d</t>
  </si>
  <si>
    <t xml:space="preserve">Mediana del múltiplo a 28 d</t>
  </si>
  <si>
    <t xml:space="preserve">Mediana de vistas a 28 d</t>
  </si>
  <si>
    <t xml:space="preserve">Mediana de % visto</t>
  </si>
  <si>
    <t xml:space="preserve">P1 Leyendas</t>
  </si>
  <si>
    <t xml:space="preserve">P2 ¿Por qué…?</t>
  </si>
  <si>
    <t xml:space="preserve">P3 Así vivías</t>
  </si>
  <si>
    <t xml:space="preserve">P4 De cada país</t>
  </si>
  <si>
    <t xml:space="preserve">Regla de la fase 11: un pilar se prioriza (mezcla 2:1) si su mediana de múltiplos es ≥ 1,5 veces la del otro.</t>
  </si>
  <si>
    <t xml:space="preserve">Progreso hacia el Programa de Socios (datos de Studio)</t>
  </si>
  <si>
    <t xml:space="preserve">Suscriptores actuales</t>
  </si>
  <si>
    <t xml:space="preserve">Fuente: YouTube Studio &gt; Ganar dinero (muestra el progreso oficial). Requisitos: fase 10.</t>
  </si>
  <si>
    <t xml:space="preserve">Horas de visualización válidas (últimos 365 días)</t>
  </si>
  <si>
    <t xml:space="preserve">Vistas válidas de Shorts (últimos 90 días)</t>
  </si>
  <si>
    <t xml:space="preserve">Subidas públicas válidas (últimos 90 días)</t>
  </si>
  <si>
    <t xml:space="preserve">Suscriptores</t>
  </si>
  <si>
    <t xml:space="preserve">Horas (365 d)</t>
  </si>
  <si>
    <t xml:space="preserve">Shorts (90 d)</t>
  </si>
  <si>
    <t xml:space="preserve">Progreso (suscriptores × horas)</t>
  </si>
  <si>
    <t xml:space="preserve">Vigencia</t>
  </si>
  <si>
    <t xml:space="preserve">Ampliado (membresías, Super Thanks)</t>
  </si>
  <si>
    <t xml:space="preserve">sin cambios en 2027</t>
  </si>
  <si>
    <t xml:space="preserve">Anuncios: hasta el 31-ene-2027</t>
  </si>
  <si>
    <t xml:space="preserve">solicitudes hasta el 31-ene-2027</t>
  </si>
  <si>
    <t xml:space="preserve">Anuncios: desde el 1-feb-2027 (canales nuevos)</t>
  </si>
  <si>
    <t xml:space="preserve">1-feb-2027 en adelante</t>
  </si>
  <si>
    <t xml:space="preserve">Progreso = (suscriptores ÷ meta, máx. 100 %) × (horas ÷ meta, máx. 100 %). Es 100 % solo si se cumplen ambas.</t>
  </si>
  <si>
    <t xml:space="preserve">Escenarios de la fase 11 al día 90 (supuestos, no predicciones)</t>
  </si>
  <si>
    <t xml:space="preserve">Conservador</t>
  </si>
  <si>
    <t xml:space="preserve">Intermedio</t>
  </si>
  <si>
    <t xml:space="preserve">Optimista</t>
  </si>
  <si>
    <t xml:space="preserve">Real (Studio)</t>
  </si>
  <si>
    <t xml:space="preserve">Vistas de largos acumuladas</t>
  </si>
  <si>
    <t xml:space="preserve">Vistas de Shorts acumuladas</t>
  </si>
  <si>
    <t xml:space="preserve">Horas de visualización válidas</t>
  </si>
  <si>
    <t xml:space="preserve">Supuestos de cada escenario y advertencias: 13-fase11-plan-90-dias.md, sección 3. Suscriptores: punto medio del rango.</t>
  </si>
  <si>
    <t xml:space="preserve">canal</t>
  </si>
  <si>
    <t xml:space="preserve">idioma</t>
  </si>
  <si>
    <t xml:space="preserve">creado</t>
  </si>
  <si>
    <t xml:space="preserve">suscriptores</t>
  </si>
  <si>
    <t xml:space="preserve">vistas_totales</t>
  </si>
  <si>
    <t xml:space="preserve">videos_totales</t>
  </si>
  <si>
    <t xml:space="preserve">subidas_semana_90d</t>
  </si>
  <si>
    <t xml:space="preserve">mediana_vistas_largos</t>
  </si>
  <si>
    <t xml:space="preserve">duracion_mediana_min</t>
  </si>
  <si>
    <t xml:space="preserve">dias_a_1k</t>
  </si>
  <si>
    <t xml:space="preserve">dias_a_10k</t>
  </si>
  <si>
    <t xml:space="preserve">pct_vistas_top10pct</t>
  </si>
  <si>
    <t xml:space="preserve">suscriptores_por_vista</t>
  </si>
  <si>
    <t xml:space="preserve">The Paint Explainer</t>
  </si>
  <si>
    <t xml:space="preserve">en</t>
  </si>
  <si>
    <t xml:space="preserve">2023-07-18</t>
  </si>
  <si>
    <t xml:space="preserve">Simple Paint</t>
  </si>
  <si>
    <t xml:space="preserve">2017-12-23</t>
  </si>
  <si>
    <t xml:space="preserve">Te Lo Pinto Fácil</t>
  </si>
  <si>
    <t xml:space="preserve">es</t>
  </si>
  <si>
    <t xml:space="preserve">2024-04-06</t>
  </si>
  <si>
    <t xml:space="preserve">Some Guy Who Knows Stuff</t>
  </si>
  <si>
    <t xml:space="preserve">2025-06-19</t>
  </si>
  <si>
    <t xml:space="preserve">The Crooked Explainer</t>
  </si>
  <si>
    <t xml:space="preserve">2026-03-10</t>
  </si>
  <si>
    <t xml:space="preserve">Estrictamente</t>
  </si>
  <si>
    <t xml:space="preserve">2026-06-11</t>
  </si>
  <si>
    <t xml:space="preserve">Lịch Sử Ngoại Truyện</t>
  </si>
  <si>
    <t xml:space="preserve">vi</t>
  </si>
  <si>
    <t xml:space="preserve">2026-07-04</t>
  </si>
  <si>
    <t xml:space="preserve">Squire Explains</t>
  </si>
  <si>
    <t xml:space="preserve">2026-09-28</t>
  </si>
  <si>
    <t xml:space="preserve">Fuente: datos/canales.csv (fase 1, consulta del 27-oct-2026): página 'Acerca de', yt-dlp y vidIQ. Días a 1k/10k: historial de vidIQ (vacío = no consultado). Squire Explains tenía 4 semanas: su ritmo real era de ~9 publicaciones por semana, no 2,8. Son canales elegidos por su éxito (sesgo de supervivencia).</t>
  </si>
  <si>
    <t xml:space="preserve">campo</t>
  </si>
  <si>
    <t xml:space="preserve">qué es</t>
  </si>
  <si>
    <t xml:space="preserve">pública o privada</t>
  </si>
  <si>
    <t xml:space="preserve">dónde se obtiene</t>
  </si>
  <si>
    <t xml:space="preserve">cuándo se registra</t>
  </si>
  <si>
    <t xml:space="preserve">vistas_24h / 7d / 28d</t>
  </si>
  <si>
    <t xml:space="preserve">Vistas del video a 1, 7 y 28 días de publicarse</t>
  </si>
  <si>
    <t xml:space="preserve">Pública (el número actual); por día solo en Studio</t>
  </si>
  <si>
    <t xml:space="preserve">Studio &gt; Contenido &gt; video &gt; Estadísticas</t>
  </si>
  <si>
    <t xml:space="preserve">24 h, 7 d, 28 d</t>
  </si>
  <si>
    <t xml:space="preserve">Veces que la miniatura se mostró en YouTube</t>
  </si>
  <si>
    <t xml:space="preserve">Privada</t>
  </si>
  <si>
    <t xml:space="preserve">Studio &gt; Alcance</t>
  </si>
  <si>
    <t xml:space="preserve">28 d</t>
  </si>
  <si>
    <t xml:space="preserve">Porcentaje de impresiones que acabaron en clic</t>
  </si>
  <si>
    <t xml:space="preserve">Duración media de visualización</t>
  </si>
  <si>
    <t xml:space="preserve">Studio &gt; Interacción</t>
  </si>
  <si>
    <t xml:space="preserve">AVD ÷ duración del video (calculado)</t>
  </si>
  <si>
    <t xml:space="preserve">Privada (derivada)</t>
  </si>
  <si>
    <t xml:space="preserve">Fórmula</t>
  </si>
  <si>
    <t xml:space="preserve">Porcentaje que sigue viendo en el segundo 30</t>
  </si>
  <si>
    <t xml:space="preserve">Studio &gt; Interacción &gt; Retención del público</t>
  </si>
  <si>
    <t xml:space="preserve">7 d</t>
  </si>
  <si>
    <t xml:space="preserve">Tiempo de visualización en horas</t>
  </si>
  <si>
    <t xml:space="preserve">Suscriptores ganados desde ese video</t>
  </si>
  <si>
    <t xml:space="preserve">Studio &gt; Audiencia (filtrar por video)</t>
  </si>
  <si>
    <t xml:space="preserve">trafico_*</t>
  </si>
  <si>
    <t xml:space="preserve">Reparto de vistas por fuente de tráfico</t>
  </si>
  <si>
    <t xml:space="preserve">Studio &gt; Alcance &gt; Fuentes de tráfico</t>
  </si>
  <si>
    <t xml:space="preserve">likes, comentarios</t>
  </si>
  <si>
    <t xml:space="preserve">Interacción visible</t>
  </si>
  <si>
    <t xml:space="preserve">Pública</t>
  </si>
  <si>
    <t xml:space="preserve">Página del video</t>
  </si>
  <si>
    <t xml:space="preserve">28 d (opcional)</t>
  </si>
  <si>
    <t xml:space="preserve">duracion_min, título, fecha</t>
  </si>
  <si>
    <t xml:space="preserve">Datos del video</t>
  </si>
  <si>
    <t xml:space="preserve">Al publicar</t>
  </si>
  <si>
    <t xml:space="preserve">Costo de herramientas imputado al video</t>
  </si>
  <si>
    <t xml:space="preserve">Interna</t>
  </si>
  <si>
    <t xml:space="preserve">Tus suscripciones (fase 7)</t>
  </si>
  <si>
    <t xml:space="preserve">Horas reales que te llevó el video (todas las etapas)</t>
  </si>
  <si>
    <t xml:space="preserve">Tu registro</t>
  </si>
  <si>
    <t xml:space="preserve">Situación en el Programa de Socios y estado de anuncios del video</t>
  </si>
  <si>
    <t xml:space="preserve">Studio &gt; Ganar dinero / icono $ del video</t>
  </si>
  <si>
    <t xml:space="preserve">Al publicar y a los 7 d</t>
  </si>
  <si>
    <t xml:space="preserve">multiplo_7d / 28d</t>
  </si>
  <si>
    <t xml:space="preserve">Vistas ÷ mediana de los 5 videos anteriores del mismo formato</t>
  </si>
  <si>
    <t xml:space="preserve">Calculada</t>
  </si>
  <si>
    <t xml:space="preserve">7 d y 28 d</t>
  </si>
  <si>
    <t xml:space="preserve">Ganador / Normal / Perdedor según los umbrales de Resumen</t>
  </si>
  <si>
    <t xml:space="preserve">7 d (provisional) y 28 d</t>
  </si>
  <si>
    <t xml:space="preserve">Pública = visible para cualquiera (también en canales ajenos). Privada = solo la ve el dueño del canal en YouTube Studio; para canales ajenos ninguna herramienta la tiene, solo estimaciones (fase 1).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</si>
</sst>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yyyy\-mm\-dd"/>
    <numFmt numFmtId="166" formatCode="0.0"/>
    <numFmt numFmtId="167" formatCode="#,##0"/>
    <numFmt numFmtId="168" formatCode="0.0%"/>
    <numFmt numFmtId="169" formatCode="\$#,##0.00"/>
    <numFmt numFmtId="170" formatCode="General"/>
    <numFmt numFmtId="171" formatCode="0.00\×"/>
    <numFmt numFmtId="172" formatCode="0"/>
    <numFmt numFmtId="173" formatCode="#,##0.0"/>
    <numFmt numFmtId="174" formatCode="0%"/>
    <numFmt numFmtId="175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i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1A16"/>
        <bgColor rgb="FF003300"/>
      </patternFill>
    </fill>
    <fill>
      <patternFill patternType="solid">
        <fgColor rgb="FF5A4632"/>
        <bgColor rgb="FF6666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E1A16"/>
      <rgbColor rgb="FF993300"/>
      <rgbColor rgb="FF993366"/>
      <rgbColor rgb="FF333399"/>
      <rgbColor rgb="FF5A46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/>
      <c r="B1" s="2" t="s">
        <v>0</v>
      </c>
    </row>
    <row r="2" customFormat="false" ht="15" hidden="false" customHeight="false" outlineLevel="0" collapsed="false">
      <c r="A2" s="1"/>
      <c r="B2" s="3" t="s">
        <v>1</v>
      </c>
    </row>
    <row r="3" customFormat="false" ht="15" hidden="false" customHeight="false" outlineLevel="0" collapsed="false">
      <c r="A3" s="1"/>
      <c r="B3" s="3"/>
    </row>
    <row r="4" customFormat="false" ht="15" hidden="false" customHeight="false" outlineLevel="0" collapsed="false">
      <c r="A4" s="1"/>
      <c r="B4" s="4" t="s">
        <v>2</v>
      </c>
    </row>
    <row r="5" customFormat="false" ht="15" hidden="false" customHeight="false" outlineLevel="0" collapsed="false">
      <c r="A5" s="1"/>
      <c r="B5" s="3" t="s">
        <v>3</v>
      </c>
    </row>
    <row r="6" customFormat="false" ht="15" hidden="false" customHeight="false" outlineLevel="0" collapsed="false">
      <c r="A6" s="1"/>
      <c r="B6" s="3" t="s">
        <v>4</v>
      </c>
    </row>
    <row r="7" customFormat="false" ht="15" hidden="false" customHeight="false" outlineLevel="0" collapsed="false">
      <c r="A7" s="1"/>
      <c r="B7" s="3" t="s">
        <v>5</v>
      </c>
    </row>
    <row r="8" customFormat="false" ht="15" hidden="false" customHeight="false" outlineLevel="0" collapsed="false">
      <c r="A8" s="1"/>
      <c r="B8" s="3"/>
    </row>
    <row r="9" customFormat="false" ht="15" hidden="false" customHeight="false" outlineLevel="0" collapsed="false">
      <c r="A9" s="1"/>
      <c r="B9" s="4" t="s">
        <v>6</v>
      </c>
    </row>
    <row r="10" customFormat="false" ht="15" hidden="false" customHeight="false" outlineLevel="0" collapsed="false">
      <c r="A10" s="1"/>
      <c r="B10" s="3" t="s">
        <v>7</v>
      </c>
    </row>
    <row r="11" customFormat="false" ht="15" hidden="false" customHeight="false" outlineLevel="0" collapsed="false">
      <c r="A11" s="1"/>
      <c r="B11" s="3" t="s">
        <v>8</v>
      </c>
    </row>
    <row r="12" customFormat="false" ht="15" hidden="false" customHeight="false" outlineLevel="0" collapsed="false">
      <c r="A12" s="1"/>
      <c r="B12" s="3" t="s">
        <v>9</v>
      </c>
    </row>
    <row r="13" customFormat="false" ht="15" hidden="false" customHeight="false" outlineLevel="0" collapsed="false">
      <c r="A13" s="1"/>
      <c r="B13" s="3" t="s">
        <v>10</v>
      </c>
    </row>
    <row r="14" customFormat="false" ht="15" hidden="false" customHeight="false" outlineLevel="0" collapsed="false">
      <c r="A14" s="1"/>
      <c r="B14" s="3" t="s">
        <v>11</v>
      </c>
    </row>
    <row r="15" customFormat="false" ht="15" hidden="false" customHeight="false" outlineLevel="0" collapsed="false">
      <c r="A15" s="1"/>
      <c r="B15" s="3"/>
    </row>
    <row r="16" customFormat="false" ht="15" hidden="false" customHeight="false" outlineLevel="0" collapsed="false">
      <c r="A16" s="1"/>
      <c r="B16" s="4" t="s">
        <v>12</v>
      </c>
    </row>
    <row r="17" customFormat="false" ht="26.85" hidden="false" customHeight="false" outlineLevel="0" collapsed="false">
      <c r="A17" s="1"/>
      <c r="B17" s="3" t="s">
        <v>13</v>
      </c>
    </row>
    <row r="18" customFormat="false" ht="26.85" hidden="false" customHeight="false" outlineLevel="0" collapsed="false">
      <c r="A18" s="1"/>
      <c r="B18" s="3" t="s">
        <v>14</v>
      </c>
    </row>
    <row r="19" customFormat="false" ht="15" hidden="false" customHeight="false" outlineLevel="0" collapsed="false">
      <c r="A19" s="1"/>
      <c r="B19" s="3" t="s">
        <v>15</v>
      </c>
    </row>
    <row r="20" customFormat="false" ht="26.85" hidden="false" customHeight="false" outlineLevel="0" collapsed="false">
      <c r="A20" s="1"/>
      <c r="B20" s="3" t="s">
        <v>16</v>
      </c>
    </row>
    <row r="21" customFormat="false" ht="15" hidden="false" customHeight="false" outlineLevel="0" collapsed="false">
      <c r="A21" s="1"/>
      <c r="B21" s="3"/>
    </row>
    <row r="22" customFormat="false" ht="15" hidden="false" customHeight="false" outlineLevel="0" collapsed="false">
      <c r="A22" s="1"/>
      <c r="B22" s="4" t="s">
        <v>17</v>
      </c>
    </row>
    <row r="23" customFormat="false" ht="52.2" hidden="false" customHeight="false" outlineLevel="0" collapsed="false">
      <c r="A23" s="1"/>
      <c r="B23" s="3" t="s">
        <v>18</v>
      </c>
    </row>
    <row r="24" customFormat="false" ht="15" hidden="false" customHeight="false" outlineLevel="0" collapsed="false">
      <c r="A24" s="1"/>
      <c r="B24" s="3"/>
    </row>
    <row r="25" customFormat="false" ht="15" hidden="false" customHeight="false" outlineLevel="0" collapsed="false">
      <c r="A25" s="1"/>
      <c r="B25" s="3" t="s">
        <v>19</v>
      </c>
    </row>
    <row r="26" customFormat="false" ht="26.85" hidden="false" customHeight="false" outlineLevel="0" collapsed="false">
      <c r="A26" s="1"/>
      <c r="B26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30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0" min="10" style="0" width="28"/>
    <col collapsed="false" customWidth="true" hidden="false" outlineLevel="0" max="11" min="11" style="0" width="9"/>
    <col collapsed="false" customWidth="true" hidden="false" outlineLevel="0" max="14" min="12" style="0" width="10"/>
    <col collapsed="false" customWidth="true" hidden="false" outlineLevel="0" max="15" min="15" style="0" width="11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22" min="19" style="0" width="10"/>
    <col collapsed="false" customWidth="true" hidden="false" outlineLevel="0" max="23" min="23" style="0" width="13"/>
    <col collapsed="false" customWidth="true" hidden="false" outlineLevel="0" max="25" min="24" style="0" width="10"/>
    <col collapsed="false" customWidth="true" hidden="false" outlineLevel="0" max="26" min="26" style="0" width="9"/>
    <col collapsed="false" customWidth="true" hidden="false" outlineLevel="0" max="27" min="27" style="0" width="10"/>
    <col collapsed="false" customWidth="true" hidden="false" outlineLevel="0" max="28" min="28" style="0" width="18"/>
    <col collapsed="false" customWidth="true" hidden="false" outlineLevel="0" max="29" min="29" style="0" width="11"/>
    <col collapsed="false" customWidth="true" hidden="false" outlineLevel="0" max="30" min="30" style="0" width="36"/>
    <col collapsed="false" customWidth="true" hidden="false" outlineLevel="0" max="31" min="31" style="0" width="30"/>
    <col collapsed="false" customWidth="true" hidden="false" outlineLevel="0" max="32" min="32" style="0" width="8"/>
    <col collapsed="false" customWidth="true" hidden="false" outlineLevel="0" max="33" min="33" style="0" width="11"/>
    <col collapsed="false" customWidth="true" hidden="false" outlineLevel="0" max="34" min="34" style="0" width="10"/>
    <col collapsed="false" customWidth="true" hidden="false" outlineLevel="0" max="35" min="35" style="0" width="11"/>
    <col collapsed="false" customWidth="true" hidden="false" outlineLevel="0" max="36" min="36" style="0" width="10"/>
    <col collapsed="false" customWidth="true" hidden="false" outlineLevel="0" max="37" min="37" style="0" width="12"/>
    <col collapsed="false" customWidth="true" hidden="false" outlineLevel="0" max="38" min="38" style="0" width="22"/>
    <col collapsed="false" customWidth="true" hidden="false" outlineLevel="0" max="40" min="39" style="0" width="11"/>
  </cols>
  <sheetData>
    <row r="1" customFormat="false" ht="42" hidden="false" customHeight="true" outlineLevel="0" collapsed="false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34</v>
      </c>
      <c r="O1" s="5" t="s">
        <v>35</v>
      </c>
      <c r="P1" s="5" t="s">
        <v>36</v>
      </c>
      <c r="Q1" s="5" t="s">
        <v>37</v>
      </c>
      <c r="R1" s="5" t="s">
        <v>38</v>
      </c>
      <c r="S1" s="5" t="s">
        <v>39</v>
      </c>
      <c r="T1" s="5" t="s">
        <v>40</v>
      </c>
      <c r="U1" s="5" t="s">
        <v>41</v>
      </c>
      <c r="V1" s="5" t="s">
        <v>42</v>
      </c>
      <c r="W1" s="5" t="s">
        <v>43</v>
      </c>
      <c r="X1" s="5" t="s">
        <v>44</v>
      </c>
      <c r="Y1" s="5" t="s">
        <v>45</v>
      </c>
      <c r="Z1" s="5" t="s">
        <v>46</v>
      </c>
      <c r="AA1" s="5" t="s">
        <v>47</v>
      </c>
      <c r="AB1" s="5" t="s">
        <v>48</v>
      </c>
      <c r="AC1" s="5" t="s">
        <v>49</v>
      </c>
      <c r="AD1" s="5" t="s">
        <v>50</v>
      </c>
      <c r="AE1" s="5" t="s">
        <v>51</v>
      </c>
      <c r="AF1" s="6" t="s">
        <v>52</v>
      </c>
      <c r="AG1" s="6" t="s">
        <v>53</v>
      </c>
      <c r="AH1" s="6" t="s">
        <v>54</v>
      </c>
      <c r="AI1" s="6" t="s">
        <v>55</v>
      </c>
      <c r="AJ1" s="6" t="s">
        <v>56</v>
      </c>
      <c r="AK1" s="6" t="s">
        <v>57</v>
      </c>
      <c r="AL1" s="6" t="s">
        <v>58</v>
      </c>
      <c r="AM1" s="6" t="s">
        <v>59</v>
      </c>
      <c r="AN1" s="6" t="s">
        <v>60</v>
      </c>
    </row>
    <row r="2" customFormat="false" ht="15" hidden="false" customHeight="false" outlineLevel="0" collapsed="false">
      <c r="A2" s="7" t="s">
        <v>61</v>
      </c>
      <c r="B2" s="7" t="s">
        <v>62</v>
      </c>
      <c r="C2" s="8" t="n">
        <v>46345</v>
      </c>
      <c r="D2" s="7" t="s">
        <v>63</v>
      </c>
      <c r="E2" s="7" t="s">
        <v>64</v>
      </c>
      <c r="F2" s="7" t="s">
        <v>65</v>
      </c>
      <c r="G2" s="7" t="s">
        <v>66</v>
      </c>
      <c r="H2" s="7" t="s">
        <v>67</v>
      </c>
      <c r="I2" s="7" t="s">
        <v>68</v>
      </c>
      <c r="J2" s="7"/>
      <c r="K2" s="9"/>
      <c r="L2" s="10"/>
      <c r="M2" s="10"/>
      <c r="N2" s="10"/>
      <c r="O2" s="10"/>
      <c r="P2" s="11"/>
      <c r="Q2" s="9"/>
      <c r="R2" s="12" t="str">
        <f aca="false">IF(AND(ISNUMBER(K2),ISNUMBER(Q2),K2&gt;0),Q2/K2,"")</f>
        <v/>
      </c>
      <c r="S2" s="11"/>
      <c r="T2" s="9"/>
      <c r="U2" s="10"/>
      <c r="V2" s="11"/>
      <c r="W2" s="11"/>
      <c r="X2" s="11"/>
      <c r="Y2" s="12" t="str">
        <f aca="false">IF(COUNT(V2:X2)=0,"",MAX(0,1-SUM(V2:X2)))</f>
        <v/>
      </c>
      <c r="Z2" s="13"/>
      <c r="AA2" s="9"/>
      <c r="AB2" s="7"/>
      <c r="AC2" s="7"/>
      <c r="AD2" s="7"/>
      <c r="AE2" s="7"/>
      <c r="AF2" s="14" t="n">
        <f aca="false">IF(D2="","",COUNTIF($D$2:D2,D2))</f>
        <v>1</v>
      </c>
      <c r="AG2" s="15" t="str">
        <f aca="false" t="array" ref="AG2:AG2">IF(D2="","",IFERROR(MEDIAN(IF(($D$2:$D$401=D2)*($AF$2:$AF$401&gt;=AF2-5)*($AF$2:$AF$401&lt;=AF2-1)*($M$2:$M$401&lt;&gt;""),$M$2:$M$401)),""))</f>
        <v/>
      </c>
      <c r="AH2" s="16" t="str">
        <f aca="false">IF(AND(ISNUMBER(M2),ISNUMBER(AG2)),IF(AG2&gt;0,M2/AG2,""),"")</f>
        <v/>
      </c>
      <c r="AI2" s="15" t="str">
        <f aca="false" t="array" ref="AI2:AI2">IF(D2="","",IFERROR(MEDIAN(IF(($D$2:$D$401=D2)*($AF$2:$AF$401&gt;=AF2-5)*($AF$2:$AF$401&lt;=AF2-1)*($N$2:$N$401&lt;&gt;""),$N$2:$N$401)),""))</f>
        <v/>
      </c>
      <c r="AJ2" s="16" t="str">
        <f aca="false">IF(AND(ISNUMBER(N2),ISNUMBER(AI2)),IF(AI2&gt;0,N2/AI2,""),"")</f>
        <v/>
      </c>
      <c r="AK2" s="12" t="str">
        <f aca="false" t="array" ref="AK2:AK2">IF(D2="","",IFERROR(MEDIAN(IF(($D$2:$D$401=D2)*ISNUMBER($R$2:$R$401),$R$2:$R$401)),""))</f>
        <v/>
      </c>
      <c r="AL2" s="17" t="str">
        <f aca="false">IF(ISNUMBER(AJ2),IF(AND(AJ2&gt;=Resumen!$C$5,OR(NOT(ISNUMBER(R2)),NOT(ISNUMBER(AK2)),R2&gt;=AK2)),"Ganador",IF(AJ2&lt;=Resumen!$C$6,"Perdedor","Normal")),IF(ISNUMBER(AH2),IF(AH2&gt;=Resumen!$C$5,"Ganador (7 d, provisional)",IF(AH2&lt;=Resumen!$C$6,"Perdedor (7 d, provisional)","Normal (7 d, provisional)")),""))</f>
        <v/>
      </c>
      <c r="AM2" s="18" t="str">
        <f aca="false">IF(AND(ISNUMBER(Z2),ISNUMBER(N2)),IF(N2&gt;0,Z2/N2*1000,""),"")</f>
        <v/>
      </c>
      <c r="AN2" s="19" t="str">
        <f aca="false">IF(AND(ISNUMBER(U2),ISNUMBER(N2)),IF(N2&gt;0,U2/N2*1000,""),"")</f>
        <v/>
      </c>
    </row>
    <row r="3" customFormat="false" ht="15" hidden="false" customHeight="false" outlineLevel="0" collapsed="false">
      <c r="A3" s="7" t="s">
        <v>69</v>
      </c>
      <c r="B3" s="7" t="s">
        <v>62</v>
      </c>
      <c r="C3" s="8" t="n">
        <v>46347</v>
      </c>
      <c r="D3" s="7" t="s">
        <v>70</v>
      </c>
      <c r="E3" s="7" t="s">
        <v>64</v>
      </c>
      <c r="F3" s="7" t="s">
        <v>71</v>
      </c>
      <c r="G3" s="7" t="s">
        <v>72</v>
      </c>
      <c r="H3" s="7"/>
      <c r="I3" s="7"/>
      <c r="J3" s="7"/>
      <c r="K3" s="9"/>
      <c r="L3" s="10"/>
      <c r="M3" s="10"/>
      <c r="N3" s="10"/>
      <c r="O3" s="10"/>
      <c r="P3" s="11"/>
      <c r="Q3" s="9"/>
      <c r="R3" s="12" t="str">
        <f aca="false">IF(AND(ISNUMBER(K3),ISNUMBER(Q3),K3&gt;0),Q3/K3,"")</f>
        <v/>
      </c>
      <c r="S3" s="11"/>
      <c r="T3" s="9"/>
      <c r="U3" s="10"/>
      <c r="V3" s="11"/>
      <c r="W3" s="11"/>
      <c r="X3" s="11"/>
      <c r="Y3" s="12" t="str">
        <f aca="false">IF(COUNT(V3:X3)=0,"",MAX(0,1-SUM(V3:X3)))</f>
        <v/>
      </c>
      <c r="Z3" s="13"/>
      <c r="AA3" s="9"/>
      <c r="AB3" s="7"/>
      <c r="AC3" s="7"/>
      <c r="AD3" s="7"/>
      <c r="AE3" s="7"/>
      <c r="AF3" s="14" t="n">
        <f aca="false">IF(D3="","",COUNTIF($D$2:D3,D3))</f>
        <v>1</v>
      </c>
      <c r="AG3" s="15" t="str">
        <f aca="false" t="array" ref="AG3:AG3">IF(D3="","",IFERROR(MEDIAN(IF(($D$2:$D$401=D3)*($AF$2:$AF$401&gt;=AF3-5)*($AF$2:$AF$401&lt;=AF3-1)*($M$2:$M$401&lt;&gt;""),$M$2:$M$401)),""))</f>
        <v/>
      </c>
      <c r="AH3" s="16" t="str">
        <f aca="false">IF(AND(ISNUMBER(M3),ISNUMBER(AG3)),IF(AG3&gt;0,M3/AG3,""),"")</f>
        <v/>
      </c>
      <c r="AI3" s="15" t="str">
        <f aca="false" t="array" ref="AI3:AI3">IF(D3="","",IFERROR(MEDIAN(IF(($D$2:$D$401=D3)*($AF$2:$AF$401&gt;=AF3-5)*($AF$2:$AF$401&lt;=AF3-1)*($N$2:$N$401&lt;&gt;""),$N$2:$N$401)),""))</f>
        <v/>
      </c>
      <c r="AJ3" s="16" t="str">
        <f aca="false">IF(AND(ISNUMBER(N3),ISNUMBER(AI3)),IF(AI3&gt;0,N3/AI3,""),"")</f>
        <v/>
      </c>
      <c r="AK3" s="12" t="str">
        <f aca="false" t="array" ref="AK3:AK3">IF(D3="","",IFERROR(MEDIAN(IF(($D$2:$D$401=D3)*ISNUMBER($R$2:$R$401),$R$2:$R$401)),""))</f>
        <v/>
      </c>
      <c r="AL3" s="17" t="str">
        <f aca="false">IF(ISNUMBER(AJ3),IF(AND(AJ3&gt;=Resumen!$C$5,OR(NOT(ISNUMBER(R3)),NOT(ISNUMBER(AK3)),R3&gt;=AK3)),"Ganador",IF(AJ3&lt;=Resumen!$C$6,"Perdedor","Normal")),IF(ISNUMBER(AH3),IF(AH3&gt;=Resumen!$C$5,"Ganador (7 d, provisional)",IF(AH3&lt;=Resumen!$C$6,"Perdedor (7 d, provisional)","Normal (7 d, provisional)")),""))</f>
        <v/>
      </c>
      <c r="AM3" s="18" t="str">
        <f aca="false">IF(AND(ISNUMBER(Z3),ISNUMBER(N3)),IF(N3&gt;0,Z3/N3*1000,""),"")</f>
        <v/>
      </c>
      <c r="AN3" s="19" t="str">
        <f aca="false">IF(AND(ISNUMBER(U3),ISNUMBER(N3)),IF(N3&gt;0,U3/N3*1000,""),"")</f>
        <v/>
      </c>
    </row>
    <row r="4" customFormat="false" ht="15" hidden="false" customHeight="false" outlineLevel="0" collapsed="false">
      <c r="A4" s="7" t="s">
        <v>73</v>
      </c>
      <c r="B4" s="7" t="s">
        <v>62</v>
      </c>
      <c r="C4" s="8" t="n">
        <v>46352</v>
      </c>
      <c r="D4" s="7" t="s">
        <v>70</v>
      </c>
      <c r="E4" s="7" t="s">
        <v>64</v>
      </c>
      <c r="F4" s="7" t="s">
        <v>74</v>
      </c>
      <c r="G4" s="7" t="s">
        <v>72</v>
      </c>
      <c r="H4" s="7"/>
      <c r="I4" s="7"/>
      <c r="J4" s="7"/>
      <c r="K4" s="9"/>
      <c r="L4" s="10"/>
      <c r="M4" s="10"/>
      <c r="N4" s="10"/>
      <c r="O4" s="10"/>
      <c r="P4" s="11"/>
      <c r="Q4" s="9"/>
      <c r="R4" s="12" t="str">
        <f aca="false">IF(AND(ISNUMBER(K4),ISNUMBER(Q4),K4&gt;0),Q4/K4,"")</f>
        <v/>
      </c>
      <c r="S4" s="11"/>
      <c r="T4" s="9"/>
      <c r="U4" s="10"/>
      <c r="V4" s="11"/>
      <c r="W4" s="11"/>
      <c r="X4" s="11"/>
      <c r="Y4" s="12" t="str">
        <f aca="false">IF(COUNT(V4:X4)=0,"",MAX(0,1-SUM(V4:X4)))</f>
        <v/>
      </c>
      <c r="Z4" s="13"/>
      <c r="AA4" s="9"/>
      <c r="AB4" s="7"/>
      <c r="AC4" s="7"/>
      <c r="AD4" s="7"/>
      <c r="AE4" s="7"/>
      <c r="AF4" s="14" t="n">
        <f aca="false">IF(D4="","",COUNTIF($D$2:D4,D4))</f>
        <v>2</v>
      </c>
      <c r="AG4" s="15" t="str">
        <f aca="false" t="array" ref="AG4:AG4">IF(D4="","",IFERROR(MEDIAN(IF(($D$2:$D$401=D4)*($AF$2:$AF$401&gt;=AF4-5)*($AF$2:$AF$401&lt;=AF4-1)*($M$2:$M$401&lt;&gt;""),$M$2:$M$401)),""))</f>
        <v/>
      </c>
      <c r="AH4" s="16" t="str">
        <f aca="false">IF(AND(ISNUMBER(M4),ISNUMBER(AG4)),IF(AG4&gt;0,M4/AG4,""),"")</f>
        <v/>
      </c>
      <c r="AI4" s="15" t="str">
        <f aca="false" t="array" ref="AI4:AI4">IF(D4="","",IFERROR(MEDIAN(IF(($D$2:$D$401=D4)*($AF$2:$AF$401&gt;=AF4-5)*($AF$2:$AF$401&lt;=AF4-1)*($N$2:$N$401&lt;&gt;""),$N$2:$N$401)),""))</f>
        <v/>
      </c>
      <c r="AJ4" s="16" t="str">
        <f aca="false">IF(AND(ISNUMBER(N4),ISNUMBER(AI4)),IF(AI4&gt;0,N4/AI4,""),"")</f>
        <v/>
      </c>
      <c r="AK4" s="12" t="str">
        <f aca="false" t="array" ref="AK4:AK4">IF(D4="","",IFERROR(MEDIAN(IF(($D$2:$D$401=D4)*ISNUMBER($R$2:$R$401),$R$2:$R$401)),""))</f>
        <v/>
      </c>
      <c r="AL4" s="17" t="str">
        <f aca="false">IF(ISNUMBER(AJ4),IF(AND(AJ4&gt;=Resumen!$C$5,OR(NOT(ISNUMBER(R4)),NOT(ISNUMBER(AK4)),R4&gt;=AK4)),"Ganador",IF(AJ4&lt;=Resumen!$C$6,"Perdedor","Normal")),IF(ISNUMBER(AH4),IF(AH4&gt;=Resumen!$C$5,"Ganador (7 d, provisional)",IF(AH4&lt;=Resumen!$C$6,"Perdedor (7 d, provisional)","Normal (7 d, provisional)")),""))</f>
        <v/>
      </c>
      <c r="AM4" s="18" t="str">
        <f aca="false">IF(AND(ISNUMBER(Z4),ISNUMBER(N4)),IF(N4&gt;0,Z4/N4*1000,""),"")</f>
        <v/>
      </c>
      <c r="AN4" s="19" t="str">
        <f aca="false">IF(AND(ISNUMBER(U4),ISNUMBER(N4)),IF(N4&gt;0,U4/N4*1000,""),"")</f>
        <v/>
      </c>
    </row>
    <row r="5" customFormat="false" ht="15" hidden="false" customHeight="false" outlineLevel="0" collapsed="false">
      <c r="A5" s="7" t="s">
        <v>75</v>
      </c>
      <c r="B5" s="7" t="s">
        <v>62</v>
      </c>
      <c r="C5" s="8" t="n">
        <v>46359</v>
      </c>
      <c r="D5" s="7" t="s">
        <v>63</v>
      </c>
      <c r="E5" s="7" t="s">
        <v>76</v>
      </c>
      <c r="F5" s="7" t="s">
        <v>77</v>
      </c>
      <c r="G5" s="7" t="s">
        <v>78</v>
      </c>
      <c r="H5" s="7" t="s">
        <v>77</v>
      </c>
      <c r="I5" s="7" t="s">
        <v>79</v>
      </c>
      <c r="J5" s="7"/>
      <c r="K5" s="9"/>
      <c r="L5" s="10"/>
      <c r="M5" s="10"/>
      <c r="N5" s="10"/>
      <c r="O5" s="10"/>
      <c r="P5" s="11"/>
      <c r="Q5" s="9"/>
      <c r="R5" s="12" t="str">
        <f aca="false">IF(AND(ISNUMBER(K5),ISNUMBER(Q5),K5&gt;0),Q5/K5,"")</f>
        <v/>
      </c>
      <c r="S5" s="11"/>
      <c r="T5" s="9"/>
      <c r="U5" s="10"/>
      <c r="V5" s="11"/>
      <c r="W5" s="11"/>
      <c r="X5" s="11"/>
      <c r="Y5" s="12" t="str">
        <f aca="false">IF(COUNT(V5:X5)=0,"",MAX(0,1-SUM(V5:X5)))</f>
        <v/>
      </c>
      <c r="Z5" s="13"/>
      <c r="AA5" s="9"/>
      <c r="AB5" s="7"/>
      <c r="AC5" s="7"/>
      <c r="AD5" s="7"/>
      <c r="AE5" s="7"/>
      <c r="AF5" s="14" t="n">
        <f aca="false">IF(D5="","",COUNTIF($D$2:D5,D5))</f>
        <v>2</v>
      </c>
      <c r="AG5" s="15" t="str">
        <f aca="false" t="array" ref="AG5:AG5">IF(D5="","",IFERROR(MEDIAN(IF(($D$2:$D$401=D5)*($AF$2:$AF$401&gt;=AF5-5)*($AF$2:$AF$401&lt;=AF5-1)*($M$2:$M$401&lt;&gt;""),$M$2:$M$401)),""))</f>
        <v/>
      </c>
      <c r="AH5" s="16" t="str">
        <f aca="false">IF(AND(ISNUMBER(M5),ISNUMBER(AG5)),IF(AG5&gt;0,M5/AG5,""),"")</f>
        <v/>
      </c>
      <c r="AI5" s="15" t="str">
        <f aca="false" t="array" ref="AI5:AI5">IF(D5="","",IFERROR(MEDIAN(IF(($D$2:$D$401=D5)*($AF$2:$AF$401&gt;=AF5-5)*($AF$2:$AF$401&lt;=AF5-1)*($N$2:$N$401&lt;&gt;""),$N$2:$N$401)),""))</f>
        <v/>
      </c>
      <c r="AJ5" s="16" t="str">
        <f aca="false">IF(AND(ISNUMBER(N5),ISNUMBER(AI5)),IF(AI5&gt;0,N5/AI5,""),"")</f>
        <v/>
      </c>
      <c r="AK5" s="12" t="str">
        <f aca="false" t="array" ref="AK5:AK5">IF(D5="","",IFERROR(MEDIAN(IF(($D$2:$D$401=D5)*ISNUMBER($R$2:$R$401),$R$2:$R$401)),""))</f>
        <v/>
      </c>
      <c r="AL5" s="17" t="str">
        <f aca="false">IF(ISNUMBER(AJ5),IF(AND(AJ5&gt;=Resumen!$C$5,OR(NOT(ISNUMBER(R5)),NOT(ISNUMBER(AK5)),R5&gt;=AK5)),"Ganador",IF(AJ5&lt;=Resumen!$C$6,"Perdedor","Normal")),IF(ISNUMBER(AH5),IF(AH5&gt;=Resumen!$C$5,"Ganador (7 d, provisional)",IF(AH5&lt;=Resumen!$C$6,"Perdedor (7 d, provisional)","Normal (7 d, provisional)")),""))</f>
        <v/>
      </c>
      <c r="AM5" s="18" t="str">
        <f aca="false">IF(AND(ISNUMBER(Z5),ISNUMBER(N5)),IF(N5&gt;0,Z5/N5*1000,""),"")</f>
        <v/>
      </c>
      <c r="AN5" s="19" t="str">
        <f aca="false">IF(AND(ISNUMBER(U5),ISNUMBER(N5)),IF(N5&gt;0,U5/N5*1000,""),"")</f>
        <v/>
      </c>
    </row>
    <row r="6" customFormat="false" ht="15" hidden="false" customHeight="false" outlineLevel="0" collapsed="false">
      <c r="A6" s="7" t="s">
        <v>80</v>
      </c>
      <c r="B6" s="7" t="s">
        <v>62</v>
      </c>
      <c r="C6" s="8" t="n">
        <v>46361</v>
      </c>
      <c r="D6" s="7" t="s">
        <v>70</v>
      </c>
      <c r="E6" s="7" t="s">
        <v>76</v>
      </c>
      <c r="F6" s="7" t="s">
        <v>81</v>
      </c>
      <c r="G6" s="7" t="s">
        <v>78</v>
      </c>
      <c r="H6" s="7"/>
      <c r="I6" s="7"/>
      <c r="J6" s="7"/>
      <c r="K6" s="9"/>
      <c r="L6" s="10"/>
      <c r="M6" s="10"/>
      <c r="N6" s="10"/>
      <c r="O6" s="10"/>
      <c r="P6" s="11"/>
      <c r="Q6" s="9"/>
      <c r="R6" s="12" t="str">
        <f aca="false">IF(AND(ISNUMBER(K6),ISNUMBER(Q6),K6&gt;0),Q6/K6,"")</f>
        <v/>
      </c>
      <c r="S6" s="11"/>
      <c r="T6" s="9"/>
      <c r="U6" s="10"/>
      <c r="V6" s="11"/>
      <c r="W6" s="11"/>
      <c r="X6" s="11"/>
      <c r="Y6" s="12" t="str">
        <f aca="false">IF(COUNT(V6:X6)=0,"",MAX(0,1-SUM(V6:X6)))</f>
        <v/>
      </c>
      <c r="Z6" s="13"/>
      <c r="AA6" s="9"/>
      <c r="AB6" s="7"/>
      <c r="AC6" s="7"/>
      <c r="AD6" s="7"/>
      <c r="AE6" s="7"/>
      <c r="AF6" s="14" t="n">
        <f aca="false">IF(D6="","",COUNTIF($D$2:D6,D6))</f>
        <v>3</v>
      </c>
      <c r="AG6" s="15" t="str">
        <f aca="false" t="array" ref="AG6:AG6">IF(D6="","",IFERROR(MEDIAN(IF(($D$2:$D$401=D6)*($AF$2:$AF$401&gt;=AF6-5)*($AF$2:$AF$401&lt;=AF6-1)*($M$2:$M$401&lt;&gt;""),$M$2:$M$401)),""))</f>
        <v/>
      </c>
      <c r="AH6" s="16" t="str">
        <f aca="false">IF(AND(ISNUMBER(M6),ISNUMBER(AG6)),IF(AG6&gt;0,M6/AG6,""),"")</f>
        <v/>
      </c>
      <c r="AI6" s="15" t="str">
        <f aca="false" t="array" ref="AI6:AI6">IF(D6="","",IFERROR(MEDIAN(IF(($D$2:$D$401=D6)*($AF$2:$AF$401&gt;=AF6-5)*($AF$2:$AF$401&lt;=AF6-1)*($N$2:$N$401&lt;&gt;""),$N$2:$N$401)),""))</f>
        <v/>
      </c>
      <c r="AJ6" s="16" t="str">
        <f aca="false">IF(AND(ISNUMBER(N6),ISNUMBER(AI6)),IF(AI6&gt;0,N6/AI6,""),"")</f>
        <v/>
      </c>
      <c r="AK6" s="12" t="str">
        <f aca="false" t="array" ref="AK6:AK6">IF(D6="","",IFERROR(MEDIAN(IF(($D$2:$D$401=D6)*ISNUMBER($R$2:$R$401),$R$2:$R$401)),""))</f>
        <v/>
      </c>
      <c r="AL6" s="17" t="str">
        <f aca="false">IF(ISNUMBER(AJ6),IF(AND(AJ6&gt;=Resumen!$C$5,OR(NOT(ISNUMBER(R6)),NOT(ISNUMBER(AK6)),R6&gt;=AK6)),"Ganador",IF(AJ6&lt;=Resumen!$C$6,"Perdedor","Normal")),IF(ISNUMBER(AH6),IF(AH6&gt;=Resumen!$C$5,"Ganador (7 d, provisional)",IF(AH6&lt;=Resumen!$C$6,"Perdedor (7 d, provisional)","Normal (7 d, provisional)")),""))</f>
        <v/>
      </c>
      <c r="AM6" s="18" t="str">
        <f aca="false">IF(AND(ISNUMBER(Z6),ISNUMBER(N6)),IF(N6&gt;0,Z6/N6*1000,""),"")</f>
        <v/>
      </c>
      <c r="AN6" s="19" t="str">
        <f aca="false">IF(AND(ISNUMBER(U6),ISNUMBER(N6)),IF(N6&gt;0,U6/N6*1000,""),"")</f>
        <v/>
      </c>
    </row>
    <row r="7" customFormat="false" ht="15" hidden="false" customHeight="false" outlineLevel="0" collapsed="false">
      <c r="A7" s="7" t="s">
        <v>82</v>
      </c>
      <c r="B7" s="7" t="s">
        <v>62</v>
      </c>
      <c r="C7" s="8" t="n">
        <v>46366</v>
      </c>
      <c r="D7" s="7" t="s">
        <v>70</v>
      </c>
      <c r="E7" s="7" t="s">
        <v>76</v>
      </c>
      <c r="F7" s="7" t="s">
        <v>83</v>
      </c>
      <c r="G7" s="7" t="s">
        <v>78</v>
      </c>
      <c r="H7" s="7"/>
      <c r="I7" s="7"/>
      <c r="J7" s="7"/>
      <c r="K7" s="9"/>
      <c r="L7" s="10"/>
      <c r="M7" s="10"/>
      <c r="N7" s="10"/>
      <c r="O7" s="10"/>
      <c r="P7" s="11"/>
      <c r="Q7" s="9"/>
      <c r="R7" s="12" t="str">
        <f aca="false">IF(AND(ISNUMBER(K7),ISNUMBER(Q7),K7&gt;0),Q7/K7,"")</f>
        <v/>
      </c>
      <c r="S7" s="11"/>
      <c r="T7" s="9"/>
      <c r="U7" s="10"/>
      <c r="V7" s="11"/>
      <c r="W7" s="11"/>
      <c r="X7" s="11"/>
      <c r="Y7" s="12" t="str">
        <f aca="false">IF(COUNT(V7:X7)=0,"",MAX(0,1-SUM(V7:X7)))</f>
        <v/>
      </c>
      <c r="Z7" s="13"/>
      <c r="AA7" s="9"/>
      <c r="AB7" s="7"/>
      <c r="AC7" s="7"/>
      <c r="AD7" s="7"/>
      <c r="AE7" s="7"/>
      <c r="AF7" s="14" t="n">
        <f aca="false">IF(D7="","",COUNTIF($D$2:D7,D7))</f>
        <v>4</v>
      </c>
      <c r="AG7" s="15" t="str">
        <f aca="false" t="array" ref="AG7:AG7">IF(D7="","",IFERROR(MEDIAN(IF(($D$2:$D$401=D7)*($AF$2:$AF$401&gt;=AF7-5)*($AF$2:$AF$401&lt;=AF7-1)*($M$2:$M$401&lt;&gt;""),$M$2:$M$401)),""))</f>
        <v/>
      </c>
      <c r="AH7" s="16" t="str">
        <f aca="false">IF(AND(ISNUMBER(M7),ISNUMBER(AG7)),IF(AG7&gt;0,M7/AG7,""),"")</f>
        <v/>
      </c>
      <c r="AI7" s="15" t="str">
        <f aca="false" t="array" ref="AI7:AI7">IF(D7="","",IFERROR(MEDIAN(IF(($D$2:$D$401=D7)*($AF$2:$AF$401&gt;=AF7-5)*($AF$2:$AF$401&lt;=AF7-1)*($N$2:$N$401&lt;&gt;""),$N$2:$N$401)),""))</f>
        <v/>
      </c>
      <c r="AJ7" s="16" t="str">
        <f aca="false">IF(AND(ISNUMBER(N7),ISNUMBER(AI7)),IF(AI7&gt;0,N7/AI7,""),"")</f>
        <v/>
      </c>
      <c r="AK7" s="12" t="str">
        <f aca="false" t="array" ref="AK7:AK7">IF(D7="","",IFERROR(MEDIAN(IF(($D$2:$D$401=D7)*ISNUMBER($R$2:$R$401),$R$2:$R$401)),""))</f>
        <v/>
      </c>
      <c r="AL7" s="17" t="str">
        <f aca="false">IF(ISNUMBER(AJ7),IF(AND(AJ7&gt;=Resumen!$C$5,OR(NOT(ISNUMBER(R7)),NOT(ISNUMBER(AK7)),R7&gt;=AK7)),"Ganador",IF(AJ7&lt;=Resumen!$C$6,"Perdedor","Normal")),IF(ISNUMBER(AH7),IF(AH7&gt;=Resumen!$C$5,"Ganador (7 d, provisional)",IF(AH7&lt;=Resumen!$C$6,"Perdedor (7 d, provisional)","Normal (7 d, provisional)")),""))</f>
        <v/>
      </c>
      <c r="AM7" s="18" t="str">
        <f aca="false">IF(AND(ISNUMBER(Z7),ISNUMBER(N7)),IF(N7&gt;0,Z7/N7*1000,""),"")</f>
        <v/>
      </c>
      <c r="AN7" s="19" t="str">
        <f aca="false">IF(AND(ISNUMBER(U7),ISNUMBER(N7)),IF(N7&gt;0,U7/N7*1000,""),"")</f>
        <v/>
      </c>
    </row>
    <row r="8" customFormat="false" ht="15" hidden="false" customHeight="false" outlineLevel="0" collapsed="false">
      <c r="A8" s="7" t="s">
        <v>84</v>
      </c>
      <c r="B8" s="7" t="s">
        <v>62</v>
      </c>
      <c r="C8" s="8" t="n">
        <v>46373</v>
      </c>
      <c r="D8" s="7" t="s">
        <v>63</v>
      </c>
      <c r="E8" s="7" t="s">
        <v>64</v>
      </c>
      <c r="F8" s="7" t="s">
        <v>85</v>
      </c>
      <c r="G8" s="7" t="s">
        <v>86</v>
      </c>
      <c r="H8" s="7" t="s">
        <v>87</v>
      </c>
      <c r="I8" s="7" t="s">
        <v>88</v>
      </c>
      <c r="J8" s="7"/>
      <c r="K8" s="9"/>
      <c r="L8" s="10"/>
      <c r="M8" s="10"/>
      <c r="N8" s="10"/>
      <c r="O8" s="10"/>
      <c r="P8" s="11"/>
      <c r="Q8" s="9"/>
      <c r="R8" s="12" t="str">
        <f aca="false">IF(AND(ISNUMBER(K8),ISNUMBER(Q8),K8&gt;0),Q8/K8,"")</f>
        <v/>
      </c>
      <c r="S8" s="11"/>
      <c r="T8" s="9"/>
      <c r="U8" s="10"/>
      <c r="V8" s="11"/>
      <c r="W8" s="11"/>
      <c r="X8" s="11"/>
      <c r="Y8" s="12" t="str">
        <f aca="false">IF(COUNT(V8:X8)=0,"",MAX(0,1-SUM(V8:X8)))</f>
        <v/>
      </c>
      <c r="Z8" s="13"/>
      <c r="AA8" s="9"/>
      <c r="AB8" s="7"/>
      <c r="AC8" s="7"/>
      <c r="AD8" s="7"/>
      <c r="AE8" s="7"/>
      <c r="AF8" s="14" t="n">
        <f aca="false">IF(D8="","",COUNTIF($D$2:D8,D8))</f>
        <v>3</v>
      </c>
      <c r="AG8" s="15" t="str">
        <f aca="false" t="array" ref="AG8:AG8">IF(D8="","",IFERROR(MEDIAN(IF(($D$2:$D$401=D8)*($AF$2:$AF$401&gt;=AF8-5)*($AF$2:$AF$401&lt;=AF8-1)*($M$2:$M$401&lt;&gt;""),$M$2:$M$401)),""))</f>
        <v/>
      </c>
      <c r="AH8" s="16" t="str">
        <f aca="false">IF(AND(ISNUMBER(M8),ISNUMBER(AG8)),IF(AG8&gt;0,M8/AG8,""),"")</f>
        <v/>
      </c>
      <c r="AI8" s="15" t="str">
        <f aca="false" t="array" ref="AI8:AI8">IF(D8="","",IFERROR(MEDIAN(IF(($D$2:$D$401=D8)*($AF$2:$AF$401&gt;=AF8-5)*($AF$2:$AF$401&lt;=AF8-1)*($N$2:$N$401&lt;&gt;""),$N$2:$N$401)),""))</f>
        <v/>
      </c>
      <c r="AJ8" s="16" t="str">
        <f aca="false">IF(AND(ISNUMBER(N8),ISNUMBER(AI8)),IF(AI8&gt;0,N8/AI8,""),"")</f>
        <v/>
      </c>
      <c r="AK8" s="12" t="str">
        <f aca="false" t="array" ref="AK8:AK8">IF(D8="","",IFERROR(MEDIAN(IF(($D$2:$D$401=D8)*ISNUMBER($R$2:$R$401),$R$2:$R$401)),""))</f>
        <v/>
      </c>
      <c r="AL8" s="17" t="str">
        <f aca="false">IF(ISNUMBER(AJ8),IF(AND(AJ8&gt;=Resumen!$C$5,OR(NOT(ISNUMBER(R8)),NOT(ISNUMBER(AK8)),R8&gt;=AK8)),"Ganador",IF(AJ8&lt;=Resumen!$C$6,"Perdedor","Normal")),IF(ISNUMBER(AH8),IF(AH8&gt;=Resumen!$C$5,"Ganador (7 d, provisional)",IF(AH8&lt;=Resumen!$C$6,"Perdedor (7 d, provisional)","Normal (7 d, provisional)")),""))</f>
        <v/>
      </c>
      <c r="AM8" s="18" t="str">
        <f aca="false">IF(AND(ISNUMBER(Z8),ISNUMBER(N8)),IF(N8&gt;0,Z8/N8*1000,""),"")</f>
        <v/>
      </c>
      <c r="AN8" s="19" t="str">
        <f aca="false">IF(AND(ISNUMBER(U8),ISNUMBER(N8)),IF(N8&gt;0,U8/N8*1000,""),"")</f>
        <v/>
      </c>
    </row>
    <row r="9" customFormat="false" ht="15" hidden="false" customHeight="false" outlineLevel="0" collapsed="false">
      <c r="A9" s="7" t="s">
        <v>89</v>
      </c>
      <c r="B9" s="7" t="s">
        <v>62</v>
      </c>
      <c r="C9" s="8" t="n">
        <v>46375</v>
      </c>
      <c r="D9" s="7" t="s">
        <v>70</v>
      </c>
      <c r="E9" s="7" t="s">
        <v>64</v>
      </c>
      <c r="F9" s="7" t="s">
        <v>90</v>
      </c>
      <c r="G9" s="7" t="s">
        <v>91</v>
      </c>
      <c r="H9" s="7"/>
      <c r="I9" s="7"/>
      <c r="J9" s="7"/>
      <c r="K9" s="9"/>
      <c r="L9" s="10"/>
      <c r="M9" s="10"/>
      <c r="N9" s="10"/>
      <c r="O9" s="10"/>
      <c r="P9" s="11"/>
      <c r="Q9" s="9"/>
      <c r="R9" s="12" t="str">
        <f aca="false">IF(AND(ISNUMBER(K9),ISNUMBER(Q9),K9&gt;0),Q9/K9,"")</f>
        <v/>
      </c>
      <c r="S9" s="11"/>
      <c r="T9" s="9"/>
      <c r="U9" s="10"/>
      <c r="V9" s="11"/>
      <c r="W9" s="11"/>
      <c r="X9" s="11"/>
      <c r="Y9" s="12" t="str">
        <f aca="false">IF(COUNT(V9:X9)=0,"",MAX(0,1-SUM(V9:X9)))</f>
        <v/>
      </c>
      <c r="Z9" s="13"/>
      <c r="AA9" s="9"/>
      <c r="AB9" s="7"/>
      <c r="AC9" s="7"/>
      <c r="AD9" s="7"/>
      <c r="AE9" s="7"/>
      <c r="AF9" s="14" t="n">
        <f aca="false">IF(D9="","",COUNTIF($D$2:D9,D9))</f>
        <v>5</v>
      </c>
      <c r="AG9" s="15" t="str">
        <f aca="false" t="array" ref="AG9:AG9">IF(D9="","",IFERROR(MEDIAN(IF(($D$2:$D$401=D9)*($AF$2:$AF$401&gt;=AF9-5)*($AF$2:$AF$401&lt;=AF9-1)*($M$2:$M$401&lt;&gt;""),$M$2:$M$401)),""))</f>
        <v/>
      </c>
      <c r="AH9" s="16" t="str">
        <f aca="false">IF(AND(ISNUMBER(M9),ISNUMBER(AG9)),IF(AG9&gt;0,M9/AG9,""),"")</f>
        <v/>
      </c>
      <c r="AI9" s="15" t="str">
        <f aca="false" t="array" ref="AI9:AI9">IF(D9="","",IFERROR(MEDIAN(IF(($D$2:$D$401=D9)*($AF$2:$AF$401&gt;=AF9-5)*($AF$2:$AF$401&lt;=AF9-1)*($N$2:$N$401&lt;&gt;""),$N$2:$N$401)),""))</f>
        <v/>
      </c>
      <c r="AJ9" s="16" t="str">
        <f aca="false">IF(AND(ISNUMBER(N9),ISNUMBER(AI9)),IF(AI9&gt;0,N9/AI9,""),"")</f>
        <v/>
      </c>
      <c r="AK9" s="12" t="str">
        <f aca="false" t="array" ref="AK9:AK9">IF(D9="","",IFERROR(MEDIAN(IF(($D$2:$D$401=D9)*ISNUMBER($R$2:$R$401),$R$2:$R$401)),""))</f>
        <v/>
      </c>
      <c r="AL9" s="17" t="str">
        <f aca="false">IF(ISNUMBER(AJ9),IF(AND(AJ9&gt;=Resumen!$C$5,OR(NOT(ISNUMBER(R9)),NOT(ISNUMBER(AK9)),R9&gt;=AK9)),"Ganador",IF(AJ9&lt;=Resumen!$C$6,"Perdedor","Normal")),IF(ISNUMBER(AH9),IF(AH9&gt;=Resumen!$C$5,"Ganador (7 d, provisional)",IF(AH9&lt;=Resumen!$C$6,"Perdedor (7 d, provisional)","Normal (7 d, provisional)")),""))</f>
        <v/>
      </c>
      <c r="AM9" s="18" t="str">
        <f aca="false">IF(AND(ISNUMBER(Z9),ISNUMBER(N9)),IF(N9&gt;0,Z9/N9*1000,""),"")</f>
        <v/>
      </c>
      <c r="AN9" s="19" t="str">
        <f aca="false">IF(AND(ISNUMBER(U9),ISNUMBER(N9)),IF(N9&gt;0,U9/N9*1000,""),"")</f>
        <v/>
      </c>
    </row>
    <row r="10" customFormat="false" ht="15" hidden="false" customHeight="false" outlineLevel="0" collapsed="false">
      <c r="A10" s="7" t="s">
        <v>92</v>
      </c>
      <c r="B10" s="7" t="s">
        <v>62</v>
      </c>
      <c r="C10" s="8" t="n">
        <v>46380</v>
      </c>
      <c r="D10" s="7" t="s">
        <v>70</v>
      </c>
      <c r="E10" s="7" t="s">
        <v>64</v>
      </c>
      <c r="F10" s="7" t="s">
        <v>93</v>
      </c>
      <c r="G10" s="7" t="s">
        <v>94</v>
      </c>
      <c r="H10" s="7"/>
      <c r="I10" s="7"/>
      <c r="J10" s="7"/>
      <c r="K10" s="9"/>
      <c r="L10" s="10"/>
      <c r="M10" s="10"/>
      <c r="N10" s="10"/>
      <c r="O10" s="10"/>
      <c r="P10" s="11"/>
      <c r="Q10" s="9"/>
      <c r="R10" s="12" t="str">
        <f aca="false">IF(AND(ISNUMBER(K10),ISNUMBER(Q10),K10&gt;0),Q10/K10,"")</f>
        <v/>
      </c>
      <c r="S10" s="11"/>
      <c r="T10" s="9"/>
      <c r="U10" s="10"/>
      <c r="V10" s="11"/>
      <c r="W10" s="11"/>
      <c r="X10" s="11"/>
      <c r="Y10" s="12" t="str">
        <f aca="false">IF(COUNT(V10:X10)=0,"",MAX(0,1-SUM(V10:X10)))</f>
        <v/>
      </c>
      <c r="Z10" s="13"/>
      <c r="AA10" s="9"/>
      <c r="AB10" s="7"/>
      <c r="AC10" s="7"/>
      <c r="AD10" s="7"/>
      <c r="AE10" s="7"/>
      <c r="AF10" s="14" t="n">
        <f aca="false">IF(D10="","",COUNTIF($D$2:D10,D10))</f>
        <v>6</v>
      </c>
      <c r="AG10" s="15" t="str">
        <f aca="false" t="array" ref="AG10:AG10">IF(D10="","",IFERROR(MEDIAN(IF(($D$2:$D$401=D10)*($AF$2:$AF$401&gt;=AF10-5)*($AF$2:$AF$401&lt;=AF10-1)*($M$2:$M$401&lt;&gt;""),$M$2:$M$401)),""))</f>
        <v/>
      </c>
      <c r="AH10" s="16" t="str">
        <f aca="false">IF(AND(ISNUMBER(M10),ISNUMBER(AG10)),IF(AG10&gt;0,M10/AG10,""),"")</f>
        <v/>
      </c>
      <c r="AI10" s="15" t="str">
        <f aca="false" t="array" ref="AI10:AI10">IF(D10="","",IFERROR(MEDIAN(IF(($D$2:$D$401=D10)*($AF$2:$AF$401&gt;=AF10-5)*($AF$2:$AF$401&lt;=AF10-1)*($N$2:$N$401&lt;&gt;""),$N$2:$N$401)),""))</f>
        <v/>
      </c>
      <c r="AJ10" s="16" t="str">
        <f aca="false">IF(AND(ISNUMBER(N10),ISNUMBER(AI10)),IF(AI10&gt;0,N10/AI10,""),"")</f>
        <v/>
      </c>
      <c r="AK10" s="12" t="str">
        <f aca="false" t="array" ref="AK10:AK10">IF(D10="","",IFERROR(MEDIAN(IF(($D$2:$D$401=D10)*ISNUMBER($R$2:$R$401),$R$2:$R$401)),""))</f>
        <v/>
      </c>
      <c r="AL10" s="17" t="str">
        <f aca="false">IF(ISNUMBER(AJ10),IF(AND(AJ10&gt;=Resumen!$C$5,OR(NOT(ISNUMBER(R10)),NOT(ISNUMBER(AK10)),R10&gt;=AK10)),"Ganador",IF(AJ10&lt;=Resumen!$C$6,"Perdedor","Normal")),IF(ISNUMBER(AH10),IF(AH10&gt;=Resumen!$C$5,"Ganador (7 d, provisional)",IF(AH10&lt;=Resumen!$C$6,"Perdedor (7 d, provisional)","Normal (7 d, provisional)")),""))</f>
        <v/>
      </c>
      <c r="AM10" s="18" t="str">
        <f aca="false">IF(AND(ISNUMBER(Z10),ISNUMBER(N10)),IF(N10&gt;0,Z10/N10*1000,""),"")</f>
        <v/>
      </c>
      <c r="AN10" s="19" t="str">
        <f aca="false">IF(AND(ISNUMBER(U10),ISNUMBER(N10)),IF(N10&gt;0,U10/N10*1000,""),"")</f>
        <v/>
      </c>
    </row>
    <row r="11" customFormat="false" ht="15" hidden="false" customHeight="false" outlineLevel="0" collapsed="false">
      <c r="A11" s="7" t="s">
        <v>95</v>
      </c>
      <c r="B11" s="7" t="s">
        <v>62</v>
      </c>
      <c r="C11" s="8" t="n">
        <v>46386</v>
      </c>
      <c r="D11" s="7" t="s">
        <v>63</v>
      </c>
      <c r="E11" s="7" t="s">
        <v>64</v>
      </c>
      <c r="F11" s="7" t="s">
        <v>96</v>
      </c>
      <c r="G11" s="7" t="s">
        <v>97</v>
      </c>
      <c r="H11" s="7" t="s">
        <v>98</v>
      </c>
      <c r="I11" s="7" t="s">
        <v>99</v>
      </c>
      <c r="J11" s="7"/>
      <c r="K11" s="9"/>
      <c r="L11" s="10"/>
      <c r="M11" s="10"/>
      <c r="N11" s="10"/>
      <c r="O11" s="10"/>
      <c r="P11" s="11"/>
      <c r="Q11" s="9"/>
      <c r="R11" s="12" t="str">
        <f aca="false">IF(AND(ISNUMBER(K11),ISNUMBER(Q11),K11&gt;0),Q11/K11,"")</f>
        <v/>
      </c>
      <c r="S11" s="11"/>
      <c r="T11" s="9"/>
      <c r="U11" s="10"/>
      <c r="V11" s="11"/>
      <c r="W11" s="11"/>
      <c r="X11" s="11"/>
      <c r="Y11" s="12" t="str">
        <f aca="false">IF(COUNT(V11:X11)=0,"",MAX(0,1-SUM(V11:X11)))</f>
        <v/>
      </c>
      <c r="Z11" s="13"/>
      <c r="AA11" s="9"/>
      <c r="AB11" s="7"/>
      <c r="AC11" s="7"/>
      <c r="AD11" s="7"/>
      <c r="AE11" s="7"/>
      <c r="AF11" s="14" t="n">
        <f aca="false">IF(D11="","",COUNTIF($D$2:D11,D11))</f>
        <v>4</v>
      </c>
      <c r="AG11" s="15" t="str">
        <f aca="false" t="array" ref="AG11:AG11">IF(D11="","",IFERROR(MEDIAN(IF(($D$2:$D$401=D11)*($AF$2:$AF$401&gt;=AF11-5)*($AF$2:$AF$401&lt;=AF11-1)*($M$2:$M$401&lt;&gt;""),$M$2:$M$401)),""))</f>
        <v/>
      </c>
      <c r="AH11" s="16" t="str">
        <f aca="false">IF(AND(ISNUMBER(M11),ISNUMBER(AG11)),IF(AG11&gt;0,M11/AG11,""),"")</f>
        <v/>
      </c>
      <c r="AI11" s="15" t="str">
        <f aca="false" t="array" ref="AI11:AI11">IF(D11="","",IFERROR(MEDIAN(IF(($D$2:$D$401=D11)*($AF$2:$AF$401&gt;=AF11-5)*($AF$2:$AF$401&lt;=AF11-1)*($N$2:$N$401&lt;&gt;""),$N$2:$N$401)),""))</f>
        <v/>
      </c>
      <c r="AJ11" s="16" t="str">
        <f aca="false">IF(AND(ISNUMBER(N11),ISNUMBER(AI11)),IF(AI11&gt;0,N11/AI11,""),"")</f>
        <v/>
      </c>
      <c r="AK11" s="12" t="str">
        <f aca="false" t="array" ref="AK11:AK11">IF(D11="","",IFERROR(MEDIAN(IF(($D$2:$D$401=D11)*ISNUMBER($R$2:$R$401),$R$2:$R$401)),""))</f>
        <v/>
      </c>
      <c r="AL11" s="17" t="str">
        <f aca="false">IF(ISNUMBER(AJ11),IF(AND(AJ11&gt;=Resumen!$C$5,OR(NOT(ISNUMBER(R11)),NOT(ISNUMBER(AK11)),R11&gt;=AK11)),"Ganador",IF(AJ11&lt;=Resumen!$C$6,"Perdedor","Normal")),IF(ISNUMBER(AH11),IF(AH11&gt;=Resumen!$C$5,"Ganador (7 d, provisional)",IF(AH11&lt;=Resumen!$C$6,"Perdedor (7 d, provisional)","Normal (7 d, provisional)")),""))</f>
        <v/>
      </c>
      <c r="AM11" s="18" t="str">
        <f aca="false">IF(AND(ISNUMBER(Z11),ISNUMBER(N11)),IF(N11&gt;0,Z11/N11*1000,""),"")</f>
        <v/>
      </c>
      <c r="AN11" s="19" t="str">
        <f aca="false">IF(AND(ISNUMBER(U11),ISNUMBER(N11)),IF(N11&gt;0,U11/N11*1000,""),"")</f>
        <v/>
      </c>
    </row>
    <row r="12" customFormat="false" ht="15" hidden="false" customHeight="false" outlineLevel="0" collapsed="false">
      <c r="A12" s="7" t="s">
        <v>100</v>
      </c>
      <c r="B12" s="7" t="s">
        <v>62</v>
      </c>
      <c r="C12" s="8" t="n">
        <v>46389</v>
      </c>
      <c r="D12" s="7" t="s">
        <v>70</v>
      </c>
      <c r="E12" s="7" t="s">
        <v>64</v>
      </c>
      <c r="F12" s="7" t="s">
        <v>101</v>
      </c>
      <c r="G12" s="7" t="s">
        <v>102</v>
      </c>
      <c r="H12" s="7"/>
      <c r="I12" s="7"/>
      <c r="J12" s="7"/>
      <c r="K12" s="9"/>
      <c r="L12" s="10"/>
      <c r="M12" s="10"/>
      <c r="N12" s="10"/>
      <c r="O12" s="10"/>
      <c r="P12" s="11"/>
      <c r="Q12" s="9"/>
      <c r="R12" s="12" t="str">
        <f aca="false">IF(AND(ISNUMBER(K12),ISNUMBER(Q12),K12&gt;0),Q12/K12,"")</f>
        <v/>
      </c>
      <c r="S12" s="11"/>
      <c r="T12" s="9"/>
      <c r="U12" s="10"/>
      <c r="V12" s="11"/>
      <c r="W12" s="11"/>
      <c r="X12" s="11"/>
      <c r="Y12" s="12" t="str">
        <f aca="false">IF(COUNT(V12:X12)=0,"",MAX(0,1-SUM(V12:X12)))</f>
        <v/>
      </c>
      <c r="Z12" s="13"/>
      <c r="AA12" s="9"/>
      <c r="AB12" s="7"/>
      <c r="AC12" s="7"/>
      <c r="AD12" s="7"/>
      <c r="AE12" s="7"/>
      <c r="AF12" s="14" t="n">
        <f aca="false">IF(D12="","",COUNTIF($D$2:D12,D12))</f>
        <v>7</v>
      </c>
      <c r="AG12" s="15" t="str">
        <f aca="false" t="array" ref="AG12:AG12">IF(D12="","",IFERROR(MEDIAN(IF(($D$2:$D$401=D12)*($AF$2:$AF$401&gt;=AF12-5)*($AF$2:$AF$401&lt;=AF12-1)*($M$2:$M$401&lt;&gt;""),$M$2:$M$401)),""))</f>
        <v/>
      </c>
      <c r="AH12" s="16" t="str">
        <f aca="false">IF(AND(ISNUMBER(M12),ISNUMBER(AG12)),IF(AG12&gt;0,M12/AG12,""),"")</f>
        <v/>
      </c>
      <c r="AI12" s="15" t="str">
        <f aca="false" t="array" ref="AI12:AI12">IF(D12="","",IFERROR(MEDIAN(IF(($D$2:$D$401=D12)*($AF$2:$AF$401&gt;=AF12-5)*($AF$2:$AF$401&lt;=AF12-1)*($N$2:$N$401&lt;&gt;""),$N$2:$N$401)),""))</f>
        <v/>
      </c>
      <c r="AJ12" s="16" t="str">
        <f aca="false">IF(AND(ISNUMBER(N12),ISNUMBER(AI12)),IF(AI12&gt;0,N12/AI12,""),"")</f>
        <v/>
      </c>
      <c r="AK12" s="12" t="str">
        <f aca="false" t="array" ref="AK12:AK12">IF(D12="","",IFERROR(MEDIAN(IF(($D$2:$D$401=D12)*ISNUMBER($R$2:$R$401),$R$2:$R$401)),""))</f>
        <v/>
      </c>
      <c r="AL12" s="17" t="str">
        <f aca="false">IF(ISNUMBER(AJ12),IF(AND(AJ12&gt;=Resumen!$C$5,OR(NOT(ISNUMBER(R12)),NOT(ISNUMBER(AK12)),R12&gt;=AK12)),"Ganador",IF(AJ12&lt;=Resumen!$C$6,"Perdedor","Normal")),IF(ISNUMBER(AH12),IF(AH12&gt;=Resumen!$C$5,"Ganador (7 d, provisional)",IF(AH12&lt;=Resumen!$C$6,"Perdedor (7 d, provisional)","Normal (7 d, provisional)")),""))</f>
        <v/>
      </c>
      <c r="AM12" s="18" t="str">
        <f aca="false">IF(AND(ISNUMBER(Z12),ISNUMBER(N12)),IF(N12&gt;0,Z12/N12*1000,""),"")</f>
        <v/>
      </c>
      <c r="AN12" s="19" t="str">
        <f aca="false">IF(AND(ISNUMBER(U12),ISNUMBER(N12)),IF(N12&gt;0,U12/N12*1000,""),"")</f>
        <v/>
      </c>
    </row>
    <row r="13" customFormat="false" ht="15" hidden="false" customHeight="false" outlineLevel="0" collapsed="false">
      <c r="A13" s="7" t="s">
        <v>103</v>
      </c>
      <c r="B13" s="7" t="s">
        <v>62</v>
      </c>
      <c r="C13" s="8" t="n">
        <v>46393</v>
      </c>
      <c r="D13" s="7" t="s">
        <v>70</v>
      </c>
      <c r="E13" s="7" t="s">
        <v>64</v>
      </c>
      <c r="F13" s="7" t="s">
        <v>104</v>
      </c>
      <c r="G13" s="7" t="s">
        <v>102</v>
      </c>
      <c r="H13" s="7"/>
      <c r="I13" s="7"/>
      <c r="J13" s="7"/>
      <c r="K13" s="9"/>
      <c r="L13" s="10"/>
      <c r="M13" s="10"/>
      <c r="N13" s="10"/>
      <c r="O13" s="10"/>
      <c r="P13" s="11"/>
      <c r="Q13" s="9"/>
      <c r="R13" s="12" t="str">
        <f aca="false">IF(AND(ISNUMBER(K13),ISNUMBER(Q13),K13&gt;0),Q13/K13,"")</f>
        <v/>
      </c>
      <c r="S13" s="11"/>
      <c r="T13" s="9"/>
      <c r="U13" s="10"/>
      <c r="V13" s="11"/>
      <c r="W13" s="11"/>
      <c r="X13" s="11"/>
      <c r="Y13" s="12" t="str">
        <f aca="false">IF(COUNT(V13:X13)=0,"",MAX(0,1-SUM(V13:X13)))</f>
        <v/>
      </c>
      <c r="Z13" s="13"/>
      <c r="AA13" s="9"/>
      <c r="AB13" s="7"/>
      <c r="AC13" s="7"/>
      <c r="AD13" s="7"/>
      <c r="AE13" s="7"/>
      <c r="AF13" s="14" t="n">
        <f aca="false">IF(D13="","",COUNTIF($D$2:D13,D13))</f>
        <v>8</v>
      </c>
      <c r="AG13" s="15" t="str">
        <f aca="false" t="array" ref="AG13:AG13">IF(D13="","",IFERROR(MEDIAN(IF(($D$2:$D$401=D13)*($AF$2:$AF$401&gt;=AF13-5)*($AF$2:$AF$401&lt;=AF13-1)*($M$2:$M$401&lt;&gt;""),$M$2:$M$401)),""))</f>
        <v/>
      </c>
      <c r="AH13" s="16" t="str">
        <f aca="false">IF(AND(ISNUMBER(M13),ISNUMBER(AG13)),IF(AG13&gt;0,M13/AG13,""),"")</f>
        <v/>
      </c>
      <c r="AI13" s="15" t="str">
        <f aca="false" t="array" ref="AI13:AI13">IF(D13="","",IFERROR(MEDIAN(IF(($D$2:$D$401=D13)*($AF$2:$AF$401&gt;=AF13-5)*($AF$2:$AF$401&lt;=AF13-1)*($N$2:$N$401&lt;&gt;""),$N$2:$N$401)),""))</f>
        <v/>
      </c>
      <c r="AJ13" s="16" t="str">
        <f aca="false">IF(AND(ISNUMBER(N13),ISNUMBER(AI13)),IF(AI13&gt;0,N13/AI13,""),"")</f>
        <v/>
      </c>
      <c r="AK13" s="12" t="str">
        <f aca="false" t="array" ref="AK13:AK13">IF(D13="","",IFERROR(MEDIAN(IF(($D$2:$D$401=D13)*ISNUMBER($R$2:$R$401),$R$2:$R$401)),""))</f>
        <v/>
      </c>
      <c r="AL13" s="17" t="str">
        <f aca="false">IF(ISNUMBER(AJ13),IF(AND(AJ13&gt;=Resumen!$C$5,OR(NOT(ISNUMBER(R13)),NOT(ISNUMBER(AK13)),R13&gt;=AK13)),"Ganador",IF(AJ13&lt;=Resumen!$C$6,"Perdedor","Normal")),IF(ISNUMBER(AH13),IF(AH13&gt;=Resumen!$C$5,"Ganador (7 d, provisional)",IF(AH13&lt;=Resumen!$C$6,"Perdedor (7 d, provisional)","Normal (7 d, provisional)")),""))</f>
        <v/>
      </c>
      <c r="AM13" s="18" t="str">
        <f aca="false">IF(AND(ISNUMBER(Z13),ISNUMBER(N13)),IF(N13&gt;0,Z13/N13*1000,""),"")</f>
        <v/>
      </c>
      <c r="AN13" s="19" t="str">
        <f aca="false">IF(AND(ISNUMBER(U13),ISNUMBER(N13)),IF(N13&gt;0,U13/N13*1000,""),"")</f>
        <v/>
      </c>
    </row>
    <row r="14" customFormat="false" ht="15" hidden="false" customHeight="false" outlineLevel="0" collapsed="false">
      <c r="A14" s="7" t="s">
        <v>105</v>
      </c>
      <c r="B14" s="7" t="s">
        <v>62</v>
      </c>
      <c r="C14" s="8" t="n">
        <v>46396</v>
      </c>
      <c r="D14" s="7" t="s">
        <v>70</v>
      </c>
      <c r="E14" s="7" t="s">
        <v>76</v>
      </c>
      <c r="F14" s="7" t="s">
        <v>106</v>
      </c>
      <c r="G14" s="7" t="s">
        <v>78</v>
      </c>
      <c r="H14" s="7"/>
      <c r="I14" s="7"/>
      <c r="J14" s="7"/>
      <c r="K14" s="9"/>
      <c r="L14" s="10"/>
      <c r="M14" s="10"/>
      <c r="N14" s="10"/>
      <c r="O14" s="10"/>
      <c r="P14" s="11"/>
      <c r="Q14" s="9"/>
      <c r="R14" s="12" t="str">
        <f aca="false">IF(AND(ISNUMBER(K14),ISNUMBER(Q14),K14&gt;0),Q14/K14,"")</f>
        <v/>
      </c>
      <c r="S14" s="11"/>
      <c r="T14" s="9"/>
      <c r="U14" s="10"/>
      <c r="V14" s="11"/>
      <c r="W14" s="11"/>
      <c r="X14" s="11"/>
      <c r="Y14" s="12" t="str">
        <f aca="false">IF(COUNT(V14:X14)=0,"",MAX(0,1-SUM(V14:X14)))</f>
        <v/>
      </c>
      <c r="Z14" s="13"/>
      <c r="AA14" s="9"/>
      <c r="AB14" s="7"/>
      <c r="AC14" s="7"/>
      <c r="AD14" s="7"/>
      <c r="AE14" s="7"/>
      <c r="AF14" s="14" t="n">
        <f aca="false">IF(D14="","",COUNTIF($D$2:D14,D14))</f>
        <v>9</v>
      </c>
      <c r="AG14" s="15" t="str">
        <f aca="false" t="array" ref="AG14:AG14">IF(D14="","",IFERROR(MEDIAN(IF(($D$2:$D$401=D14)*($AF$2:$AF$401&gt;=AF14-5)*($AF$2:$AF$401&lt;=AF14-1)*($M$2:$M$401&lt;&gt;""),$M$2:$M$401)),""))</f>
        <v/>
      </c>
      <c r="AH14" s="16" t="str">
        <f aca="false">IF(AND(ISNUMBER(M14),ISNUMBER(AG14)),IF(AG14&gt;0,M14/AG14,""),"")</f>
        <v/>
      </c>
      <c r="AI14" s="15" t="str">
        <f aca="false" t="array" ref="AI14:AI14">IF(D14="","",IFERROR(MEDIAN(IF(($D$2:$D$401=D14)*($AF$2:$AF$401&gt;=AF14-5)*($AF$2:$AF$401&lt;=AF14-1)*($N$2:$N$401&lt;&gt;""),$N$2:$N$401)),""))</f>
        <v/>
      </c>
      <c r="AJ14" s="16" t="str">
        <f aca="false">IF(AND(ISNUMBER(N14),ISNUMBER(AI14)),IF(AI14&gt;0,N14/AI14,""),"")</f>
        <v/>
      </c>
      <c r="AK14" s="12" t="str">
        <f aca="false" t="array" ref="AK14:AK14">IF(D14="","",IFERROR(MEDIAN(IF(($D$2:$D$401=D14)*ISNUMBER($R$2:$R$401),$R$2:$R$401)),""))</f>
        <v/>
      </c>
      <c r="AL14" s="17" t="str">
        <f aca="false">IF(ISNUMBER(AJ14),IF(AND(AJ14&gt;=Resumen!$C$5,OR(NOT(ISNUMBER(R14)),NOT(ISNUMBER(AK14)),R14&gt;=AK14)),"Ganador",IF(AJ14&lt;=Resumen!$C$6,"Perdedor","Normal")),IF(ISNUMBER(AH14),IF(AH14&gt;=Resumen!$C$5,"Ganador (7 d, provisional)",IF(AH14&lt;=Resumen!$C$6,"Perdedor (7 d, provisional)","Normal (7 d, provisional)")),""))</f>
        <v/>
      </c>
      <c r="AM14" s="18" t="str">
        <f aca="false">IF(AND(ISNUMBER(Z14),ISNUMBER(N14)),IF(N14&gt;0,Z14/N14*1000,""),"")</f>
        <v/>
      </c>
      <c r="AN14" s="19" t="str">
        <f aca="false">IF(AND(ISNUMBER(U14),ISNUMBER(N14)),IF(N14&gt;0,U14/N14*1000,""),"")</f>
        <v/>
      </c>
    </row>
    <row r="15" customFormat="false" ht="15" hidden="false" customHeight="false" outlineLevel="0" collapsed="false">
      <c r="A15" s="7" t="s">
        <v>107</v>
      </c>
      <c r="B15" s="7" t="s">
        <v>62</v>
      </c>
      <c r="C15" s="8" t="n">
        <v>46401</v>
      </c>
      <c r="D15" s="7" t="s">
        <v>63</v>
      </c>
      <c r="E15" s="7" t="s">
        <v>76</v>
      </c>
      <c r="F15" s="7" t="s">
        <v>108</v>
      </c>
      <c r="G15" s="7" t="s">
        <v>109</v>
      </c>
      <c r="H15" s="7" t="s">
        <v>110</v>
      </c>
      <c r="I15" s="7" t="s">
        <v>111</v>
      </c>
      <c r="J15" s="7"/>
      <c r="K15" s="9"/>
      <c r="L15" s="10"/>
      <c r="M15" s="10"/>
      <c r="N15" s="10"/>
      <c r="O15" s="10"/>
      <c r="P15" s="11"/>
      <c r="Q15" s="9"/>
      <c r="R15" s="12" t="str">
        <f aca="false">IF(AND(ISNUMBER(K15),ISNUMBER(Q15),K15&gt;0),Q15/K15,"")</f>
        <v/>
      </c>
      <c r="S15" s="11"/>
      <c r="T15" s="9"/>
      <c r="U15" s="10"/>
      <c r="V15" s="11"/>
      <c r="W15" s="11"/>
      <c r="X15" s="11"/>
      <c r="Y15" s="12" t="str">
        <f aca="false">IF(COUNT(V15:X15)=0,"",MAX(0,1-SUM(V15:X15)))</f>
        <v/>
      </c>
      <c r="Z15" s="13"/>
      <c r="AA15" s="9"/>
      <c r="AB15" s="7"/>
      <c r="AC15" s="7"/>
      <c r="AD15" s="7"/>
      <c r="AE15" s="7"/>
      <c r="AF15" s="14" t="n">
        <f aca="false">IF(D15="","",COUNTIF($D$2:D15,D15))</f>
        <v>5</v>
      </c>
      <c r="AG15" s="15" t="str">
        <f aca="false" t="array" ref="AG15:AG15">IF(D15="","",IFERROR(MEDIAN(IF(($D$2:$D$401=D15)*($AF$2:$AF$401&gt;=AF15-5)*($AF$2:$AF$401&lt;=AF15-1)*($M$2:$M$401&lt;&gt;""),$M$2:$M$401)),""))</f>
        <v/>
      </c>
      <c r="AH15" s="16" t="str">
        <f aca="false">IF(AND(ISNUMBER(M15),ISNUMBER(AG15)),IF(AG15&gt;0,M15/AG15,""),"")</f>
        <v/>
      </c>
      <c r="AI15" s="15" t="str">
        <f aca="false" t="array" ref="AI15:AI15">IF(D15="","",IFERROR(MEDIAN(IF(($D$2:$D$401=D15)*($AF$2:$AF$401&gt;=AF15-5)*($AF$2:$AF$401&lt;=AF15-1)*($N$2:$N$401&lt;&gt;""),$N$2:$N$401)),""))</f>
        <v/>
      </c>
      <c r="AJ15" s="16" t="str">
        <f aca="false">IF(AND(ISNUMBER(N15),ISNUMBER(AI15)),IF(AI15&gt;0,N15/AI15,""),"")</f>
        <v/>
      </c>
      <c r="AK15" s="12" t="str">
        <f aca="false" t="array" ref="AK15:AK15">IF(D15="","",IFERROR(MEDIAN(IF(($D$2:$D$401=D15)*ISNUMBER($R$2:$R$401),$R$2:$R$401)),""))</f>
        <v/>
      </c>
      <c r="AL15" s="17" t="str">
        <f aca="false">IF(ISNUMBER(AJ15),IF(AND(AJ15&gt;=Resumen!$C$5,OR(NOT(ISNUMBER(R15)),NOT(ISNUMBER(AK15)),R15&gt;=AK15)),"Ganador",IF(AJ15&lt;=Resumen!$C$6,"Perdedor","Normal")),IF(ISNUMBER(AH15),IF(AH15&gt;=Resumen!$C$5,"Ganador (7 d, provisional)",IF(AH15&lt;=Resumen!$C$6,"Perdedor (7 d, provisional)","Normal (7 d, provisional)")),""))</f>
        <v/>
      </c>
      <c r="AM15" s="18" t="str">
        <f aca="false">IF(AND(ISNUMBER(Z15),ISNUMBER(N15)),IF(N15&gt;0,Z15/N15*1000,""),"")</f>
        <v/>
      </c>
      <c r="AN15" s="19" t="str">
        <f aca="false">IF(AND(ISNUMBER(U15),ISNUMBER(N15)),IF(N15&gt;0,U15/N15*1000,""),"")</f>
        <v/>
      </c>
    </row>
    <row r="16" customFormat="false" ht="15" hidden="false" customHeight="false" outlineLevel="0" collapsed="false">
      <c r="A16" s="7" t="s">
        <v>112</v>
      </c>
      <c r="B16" s="7" t="s">
        <v>62</v>
      </c>
      <c r="C16" s="8" t="n">
        <v>46403</v>
      </c>
      <c r="D16" s="7" t="s">
        <v>70</v>
      </c>
      <c r="E16" s="7" t="s">
        <v>76</v>
      </c>
      <c r="F16" s="7" t="s">
        <v>113</v>
      </c>
      <c r="G16" s="7" t="s">
        <v>114</v>
      </c>
      <c r="H16" s="7"/>
      <c r="I16" s="7"/>
      <c r="J16" s="7"/>
      <c r="K16" s="9"/>
      <c r="L16" s="10"/>
      <c r="M16" s="10"/>
      <c r="N16" s="10"/>
      <c r="O16" s="10"/>
      <c r="P16" s="11"/>
      <c r="Q16" s="9"/>
      <c r="R16" s="12" t="str">
        <f aca="false">IF(AND(ISNUMBER(K16),ISNUMBER(Q16),K16&gt;0),Q16/K16,"")</f>
        <v/>
      </c>
      <c r="S16" s="11"/>
      <c r="T16" s="9"/>
      <c r="U16" s="10"/>
      <c r="V16" s="11"/>
      <c r="W16" s="11"/>
      <c r="X16" s="11"/>
      <c r="Y16" s="12" t="str">
        <f aca="false">IF(COUNT(V16:X16)=0,"",MAX(0,1-SUM(V16:X16)))</f>
        <v/>
      </c>
      <c r="Z16" s="13"/>
      <c r="AA16" s="9"/>
      <c r="AB16" s="7"/>
      <c r="AC16" s="7"/>
      <c r="AD16" s="7"/>
      <c r="AE16" s="7"/>
      <c r="AF16" s="14" t="n">
        <f aca="false">IF(D16="","",COUNTIF($D$2:D16,D16))</f>
        <v>10</v>
      </c>
      <c r="AG16" s="15" t="str">
        <f aca="false" t="array" ref="AG16:AG16">IF(D16="","",IFERROR(MEDIAN(IF(($D$2:$D$401=D16)*($AF$2:$AF$401&gt;=AF16-5)*($AF$2:$AF$401&lt;=AF16-1)*($M$2:$M$401&lt;&gt;""),$M$2:$M$401)),""))</f>
        <v/>
      </c>
      <c r="AH16" s="16" t="str">
        <f aca="false">IF(AND(ISNUMBER(M16),ISNUMBER(AG16)),IF(AG16&gt;0,M16/AG16,""),"")</f>
        <v/>
      </c>
      <c r="AI16" s="15" t="str">
        <f aca="false" t="array" ref="AI16:AI16">IF(D16="","",IFERROR(MEDIAN(IF(($D$2:$D$401=D16)*($AF$2:$AF$401&gt;=AF16-5)*($AF$2:$AF$401&lt;=AF16-1)*($N$2:$N$401&lt;&gt;""),$N$2:$N$401)),""))</f>
        <v/>
      </c>
      <c r="AJ16" s="16" t="str">
        <f aca="false">IF(AND(ISNUMBER(N16),ISNUMBER(AI16)),IF(AI16&gt;0,N16/AI16,""),"")</f>
        <v/>
      </c>
      <c r="AK16" s="12" t="str">
        <f aca="false" t="array" ref="AK16:AK16">IF(D16="","",IFERROR(MEDIAN(IF(($D$2:$D$401=D16)*ISNUMBER($R$2:$R$401),$R$2:$R$401)),""))</f>
        <v/>
      </c>
      <c r="AL16" s="17" t="str">
        <f aca="false">IF(ISNUMBER(AJ16),IF(AND(AJ16&gt;=Resumen!$C$5,OR(NOT(ISNUMBER(R16)),NOT(ISNUMBER(AK16)),R16&gt;=AK16)),"Ganador",IF(AJ16&lt;=Resumen!$C$6,"Perdedor","Normal")),IF(ISNUMBER(AH16),IF(AH16&gt;=Resumen!$C$5,"Ganador (7 d, provisional)",IF(AH16&lt;=Resumen!$C$6,"Perdedor (7 d, provisional)","Normal (7 d, provisional)")),""))</f>
        <v/>
      </c>
      <c r="AM16" s="18" t="str">
        <f aca="false">IF(AND(ISNUMBER(Z16),ISNUMBER(N16)),IF(N16&gt;0,Z16/N16*1000,""),"")</f>
        <v/>
      </c>
      <c r="AN16" s="19" t="str">
        <f aca="false">IF(AND(ISNUMBER(U16),ISNUMBER(N16)),IF(N16&gt;0,U16/N16*1000,""),"")</f>
        <v/>
      </c>
    </row>
    <row r="17" customFormat="false" ht="15" hidden="false" customHeight="false" outlineLevel="0" collapsed="false">
      <c r="A17" s="7" t="s">
        <v>115</v>
      </c>
      <c r="B17" s="7" t="s">
        <v>62</v>
      </c>
      <c r="C17" s="8" t="n">
        <v>46407</v>
      </c>
      <c r="D17" s="7" t="s">
        <v>70</v>
      </c>
      <c r="E17" s="7" t="s">
        <v>76</v>
      </c>
      <c r="F17" s="7" t="s">
        <v>116</v>
      </c>
      <c r="G17" s="7" t="s">
        <v>109</v>
      </c>
      <c r="H17" s="7"/>
      <c r="I17" s="7"/>
      <c r="J17" s="7"/>
      <c r="K17" s="9"/>
      <c r="L17" s="10"/>
      <c r="M17" s="10"/>
      <c r="N17" s="10"/>
      <c r="O17" s="10"/>
      <c r="P17" s="11"/>
      <c r="Q17" s="9"/>
      <c r="R17" s="12" t="str">
        <f aca="false">IF(AND(ISNUMBER(K17),ISNUMBER(Q17),K17&gt;0),Q17/K17,"")</f>
        <v/>
      </c>
      <c r="S17" s="11"/>
      <c r="T17" s="9"/>
      <c r="U17" s="10"/>
      <c r="V17" s="11"/>
      <c r="W17" s="11"/>
      <c r="X17" s="11"/>
      <c r="Y17" s="12" t="str">
        <f aca="false">IF(COUNT(V17:X17)=0,"",MAX(0,1-SUM(V17:X17)))</f>
        <v/>
      </c>
      <c r="Z17" s="13"/>
      <c r="AA17" s="9"/>
      <c r="AB17" s="7"/>
      <c r="AC17" s="7"/>
      <c r="AD17" s="7"/>
      <c r="AE17" s="7"/>
      <c r="AF17" s="14" t="n">
        <f aca="false">IF(D17="","",COUNTIF($D$2:D17,D17))</f>
        <v>11</v>
      </c>
      <c r="AG17" s="15" t="str">
        <f aca="false" t="array" ref="AG17:AG17">IF(D17="","",IFERROR(MEDIAN(IF(($D$2:$D$401=D17)*($AF$2:$AF$401&gt;=AF17-5)*($AF$2:$AF$401&lt;=AF17-1)*($M$2:$M$401&lt;&gt;""),$M$2:$M$401)),""))</f>
        <v/>
      </c>
      <c r="AH17" s="16" t="str">
        <f aca="false">IF(AND(ISNUMBER(M17),ISNUMBER(AG17)),IF(AG17&gt;0,M17/AG17,""),"")</f>
        <v/>
      </c>
      <c r="AI17" s="15" t="str">
        <f aca="false" t="array" ref="AI17:AI17">IF(D17="","",IFERROR(MEDIAN(IF(($D$2:$D$401=D17)*($AF$2:$AF$401&gt;=AF17-5)*($AF$2:$AF$401&lt;=AF17-1)*($N$2:$N$401&lt;&gt;""),$N$2:$N$401)),""))</f>
        <v/>
      </c>
      <c r="AJ17" s="16" t="str">
        <f aca="false">IF(AND(ISNUMBER(N17),ISNUMBER(AI17)),IF(AI17&gt;0,N17/AI17,""),"")</f>
        <v/>
      </c>
      <c r="AK17" s="12" t="str">
        <f aca="false" t="array" ref="AK17:AK17">IF(D17="","",IFERROR(MEDIAN(IF(($D$2:$D$401=D17)*ISNUMBER($R$2:$R$401),$R$2:$R$401)),""))</f>
        <v/>
      </c>
      <c r="AL17" s="17" t="str">
        <f aca="false">IF(ISNUMBER(AJ17),IF(AND(AJ17&gt;=Resumen!$C$5,OR(NOT(ISNUMBER(R17)),NOT(ISNUMBER(AK17)),R17&gt;=AK17)),"Ganador",IF(AJ17&lt;=Resumen!$C$6,"Perdedor","Normal")),IF(ISNUMBER(AH17),IF(AH17&gt;=Resumen!$C$5,"Ganador (7 d, provisional)",IF(AH17&lt;=Resumen!$C$6,"Perdedor (7 d, provisional)","Normal (7 d, provisional)")),""))</f>
        <v/>
      </c>
      <c r="AM17" s="18" t="str">
        <f aca="false">IF(AND(ISNUMBER(Z17),ISNUMBER(N17)),IF(N17&gt;0,Z17/N17*1000,""),"")</f>
        <v/>
      </c>
      <c r="AN17" s="19" t="str">
        <f aca="false">IF(AND(ISNUMBER(U17),ISNUMBER(N17)),IF(N17&gt;0,U17/N17*1000,""),"")</f>
        <v/>
      </c>
    </row>
    <row r="18" customFormat="false" ht="15" hidden="false" customHeight="false" outlineLevel="0" collapsed="false">
      <c r="A18" s="7" t="s">
        <v>117</v>
      </c>
      <c r="B18" s="7" t="s">
        <v>62</v>
      </c>
      <c r="C18" s="8" t="n">
        <v>46410</v>
      </c>
      <c r="D18" s="7" t="s">
        <v>70</v>
      </c>
      <c r="E18" s="7" t="s">
        <v>76</v>
      </c>
      <c r="F18" s="7" t="s">
        <v>118</v>
      </c>
      <c r="G18" s="7" t="s">
        <v>119</v>
      </c>
      <c r="H18" s="7"/>
      <c r="I18" s="7"/>
      <c r="J18" s="7"/>
      <c r="K18" s="9"/>
      <c r="L18" s="10"/>
      <c r="M18" s="10"/>
      <c r="N18" s="10"/>
      <c r="O18" s="10"/>
      <c r="P18" s="11"/>
      <c r="Q18" s="9"/>
      <c r="R18" s="12" t="str">
        <f aca="false">IF(AND(ISNUMBER(K18),ISNUMBER(Q18),K18&gt;0),Q18/K18,"")</f>
        <v/>
      </c>
      <c r="S18" s="11"/>
      <c r="T18" s="9"/>
      <c r="U18" s="10"/>
      <c r="V18" s="11"/>
      <c r="W18" s="11"/>
      <c r="X18" s="11"/>
      <c r="Y18" s="12" t="str">
        <f aca="false">IF(COUNT(V18:X18)=0,"",MAX(0,1-SUM(V18:X18)))</f>
        <v/>
      </c>
      <c r="Z18" s="13"/>
      <c r="AA18" s="9"/>
      <c r="AB18" s="7"/>
      <c r="AC18" s="7"/>
      <c r="AD18" s="7"/>
      <c r="AE18" s="7"/>
      <c r="AF18" s="14" t="n">
        <f aca="false">IF(D18="","",COUNTIF($D$2:D18,D18))</f>
        <v>12</v>
      </c>
      <c r="AG18" s="15" t="str">
        <f aca="false" t="array" ref="AG18:AG18">IF(D18="","",IFERROR(MEDIAN(IF(($D$2:$D$401=D18)*($AF$2:$AF$401&gt;=AF18-5)*($AF$2:$AF$401&lt;=AF18-1)*($M$2:$M$401&lt;&gt;""),$M$2:$M$401)),""))</f>
        <v/>
      </c>
      <c r="AH18" s="16" t="str">
        <f aca="false">IF(AND(ISNUMBER(M18),ISNUMBER(AG18)),IF(AG18&gt;0,M18/AG18,""),"")</f>
        <v/>
      </c>
      <c r="AI18" s="15" t="str">
        <f aca="false" t="array" ref="AI18:AI18">IF(D18="","",IFERROR(MEDIAN(IF(($D$2:$D$401=D18)*($AF$2:$AF$401&gt;=AF18-5)*($AF$2:$AF$401&lt;=AF18-1)*($N$2:$N$401&lt;&gt;""),$N$2:$N$401)),""))</f>
        <v/>
      </c>
      <c r="AJ18" s="16" t="str">
        <f aca="false">IF(AND(ISNUMBER(N18),ISNUMBER(AI18)),IF(AI18&gt;0,N18/AI18,""),"")</f>
        <v/>
      </c>
      <c r="AK18" s="12" t="str">
        <f aca="false" t="array" ref="AK18:AK18">IF(D18="","",IFERROR(MEDIAN(IF(($D$2:$D$401=D18)*ISNUMBER($R$2:$R$401),$R$2:$R$401)),""))</f>
        <v/>
      </c>
      <c r="AL18" s="17" t="str">
        <f aca="false">IF(ISNUMBER(AJ18),IF(AND(AJ18&gt;=Resumen!$C$5,OR(NOT(ISNUMBER(R18)),NOT(ISNUMBER(AK18)),R18&gt;=AK18)),"Ganador",IF(AJ18&lt;=Resumen!$C$6,"Perdedor","Normal")),IF(ISNUMBER(AH18),IF(AH18&gt;=Resumen!$C$5,"Ganador (7 d, provisional)",IF(AH18&lt;=Resumen!$C$6,"Perdedor (7 d, provisional)","Normal (7 d, provisional)")),""))</f>
        <v/>
      </c>
      <c r="AM18" s="18" t="str">
        <f aca="false">IF(AND(ISNUMBER(Z18),ISNUMBER(N18)),IF(N18&gt;0,Z18/N18*1000,""),"")</f>
        <v/>
      </c>
      <c r="AN18" s="19" t="str">
        <f aca="false">IF(AND(ISNUMBER(U18),ISNUMBER(N18)),IF(N18&gt;0,U18/N18*1000,""),"")</f>
        <v/>
      </c>
    </row>
    <row r="19" customFormat="false" ht="15" hidden="false" customHeight="false" outlineLevel="0" collapsed="false">
      <c r="A19" s="7" t="s">
        <v>120</v>
      </c>
      <c r="B19" s="7" t="s">
        <v>62</v>
      </c>
      <c r="C19" s="8" t="n">
        <v>46415</v>
      </c>
      <c r="D19" s="7" t="s">
        <v>63</v>
      </c>
      <c r="E19" s="7" t="s">
        <v>76</v>
      </c>
      <c r="F19" s="7" t="s">
        <v>121</v>
      </c>
      <c r="G19" s="7" t="s">
        <v>119</v>
      </c>
      <c r="H19" s="7" t="s">
        <v>121</v>
      </c>
      <c r="I19" s="7" t="s">
        <v>122</v>
      </c>
      <c r="J19" s="7"/>
      <c r="K19" s="9"/>
      <c r="L19" s="10"/>
      <c r="M19" s="10"/>
      <c r="N19" s="10"/>
      <c r="O19" s="10"/>
      <c r="P19" s="11"/>
      <c r="Q19" s="9"/>
      <c r="R19" s="12" t="str">
        <f aca="false">IF(AND(ISNUMBER(K19),ISNUMBER(Q19),K19&gt;0),Q19/K19,"")</f>
        <v/>
      </c>
      <c r="S19" s="11"/>
      <c r="T19" s="9"/>
      <c r="U19" s="10"/>
      <c r="V19" s="11"/>
      <c r="W19" s="11"/>
      <c r="X19" s="11"/>
      <c r="Y19" s="12" t="str">
        <f aca="false">IF(COUNT(V19:X19)=0,"",MAX(0,1-SUM(V19:X19)))</f>
        <v/>
      </c>
      <c r="Z19" s="13"/>
      <c r="AA19" s="9"/>
      <c r="AB19" s="7"/>
      <c r="AC19" s="7"/>
      <c r="AD19" s="7"/>
      <c r="AE19" s="7"/>
      <c r="AF19" s="14" t="n">
        <f aca="false">IF(D19="","",COUNTIF($D$2:D19,D19))</f>
        <v>6</v>
      </c>
      <c r="AG19" s="15" t="str">
        <f aca="false" t="array" ref="AG19:AG19">IF(D19="","",IFERROR(MEDIAN(IF(($D$2:$D$401=D19)*($AF$2:$AF$401&gt;=AF19-5)*($AF$2:$AF$401&lt;=AF19-1)*($M$2:$M$401&lt;&gt;""),$M$2:$M$401)),""))</f>
        <v/>
      </c>
      <c r="AH19" s="16" t="str">
        <f aca="false">IF(AND(ISNUMBER(M19),ISNUMBER(AG19)),IF(AG19&gt;0,M19/AG19,""),"")</f>
        <v/>
      </c>
      <c r="AI19" s="15" t="str">
        <f aca="false" t="array" ref="AI19:AI19">IF(D19="","",IFERROR(MEDIAN(IF(($D$2:$D$401=D19)*($AF$2:$AF$401&gt;=AF19-5)*($AF$2:$AF$401&lt;=AF19-1)*($N$2:$N$401&lt;&gt;""),$N$2:$N$401)),""))</f>
        <v/>
      </c>
      <c r="AJ19" s="16" t="str">
        <f aca="false">IF(AND(ISNUMBER(N19),ISNUMBER(AI19)),IF(AI19&gt;0,N19/AI19,""),"")</f>
        <v/>
      </c>
      <c r="AK19" s="12" t="str">
        <f aca="false" t="array" ref="AK19:AK19">IF(D19="","",IFERROR(MEDIAN(IF(($D$2:$D$401=D19)*ISNUMBER($R$2:$R$401),$R$2:$R$401)),""))</f>
        <v/>
      </c>
      <c r="AL19" s="17" t="str">
        <f aca="false">IF(ISNUMBER(AJ19),IF(AND(AJ19&gt;=Resumen!$C$5,OR(NOT(ISNUMBER(R19)),NOT(ISNUMBER(AK19)),R19&gt;=AK19)),"Ganador",IF(AJ19&lt;=Resumen!$C$6,"Perdedor","Normal")),IF(ISNUMBER(AH19),IF(AH19&gt;=Resumen!$C$5,"Ganador (7 d, provisional)",IF(AH19&lt;=Resumen!$C$6,"Perdedor (7 d, provisional)","Normal (7 d, provisional)")),""))</f>
        <v/>
      </c>
      <c r="AM19" s="18" t="str">
        <f aca="false">IF(AND(ISNUMBER(Z19),ISNUMBER(N19)),IF(N19&gt;0,Z19/N19*1000,""),"")</f>
        <v/>
      </c>
      <c r="AN19" s="19" t="str">
        <f aca="false">IF(AND(ISNUMBER(U19),ISNUMBER(N19)),IF(N19&gt;0,U19/N19*1000,""),"")</f>
        <v/>
      </c>
    </row>
    <row r="20" customFormat="false" ht="15" hidden="false" customHeight="false" outlineLevel="0" collapsed="false">
      <c r="A20" s="7" t="s">
        <v>123</v>
      </c>
      <c r="B20" s="7" t="s">
        <v>62</v>
      </c>
      <c r="C20" s="8" t="n">
        <v>46417</v>
      </c>
      <c r="D20" s="7" t="s">
        <v>70</v>
      </c>
      <c r="E20" s="7" t="s">
        <v>76</v>
      </c>
      <c r="F20" s="7" t="s">
        <v>124</v>
      </c>
      <c r="G20" s="7" t="s">
        <v>125</v>
      </c>
      <c r="H20" s="7"/>
      <c r="I20" s="7"/>
      <c r="J20" s="7"/>
      <c r="K20" s="9"/>
      <c r="L20" s="10"/>
      <c r="M20" s="10"/>
      <c r="N20" s="10"/>
      <c r="O20" s="10"/>
      <c r="P20" s="11"/>
      <c r="Q20" s="9"/>
      <c r="R20" s="12" t="str">
        <f aca="false">IF(AND(ISNUMBER(K20),ISNUMBER(Q20),K20&gt;0),Q20/K20,"")</f>
        <v/>
      </c>
      <c r="S20" s="11"/>
      <c r="T20" s="9"/>
      <c r="U20" s="10"/>
      <c r="V20" s="11"/>
      <c r="W20" s="11"/>
      <c r="X20" s="11"/>
      <c r="Y20" s="12" t="str">
        <f aca="false">IF(COUNT(V20:X20)=0,"",MAX(0,1-SUM(V20:X20)))</f>
        <v/>
      </c>
      <c r="Z20" s="13"/>
      <c r="AA20" s="9"/>
      <c r="AB20" s="7"/>
      <c r="AC20" s="7"/>
      <c r="AD20" s="7"/>
      <c r="AE20" s="7"/>
      <c r="AF20" s="14" t="n">
        <f aca="false">IF(D20="","",COUNTIF($D$2:D20,D20))</f>
        <v>13</v>
      </c>
      <c r="AG20" s="15" t="str">
        <f aca="false" t="array" ref="AG20:AG20">IF(D20="","",IFERROR(MEDIAN(IF(($D$2:$D$401=D20)*($AF$2:$AF$401&gt;=AF20-5)*($AF$2:$AF$401&lt;=AF20-1)*($M$2:$M$401&lt;&gt;""),$M$2:$M$401)),""))</f>
        <v/>
      </c>
      <c r="AH20" s="16" t="str">
        <f aca="false">IF(AND(ISNUMBER(M20),ISNUMBER(AG20)),IF(AG20&gt;0,M20/AG20,""),"")</f>
        <v/>
      </c>
      <c r="AI20" s="15" t="str">
        <f aca="false" t="array" ref="AI20:AI20">IF(D20="","",IFERROR(MEDIAN(IF(($D$2:$D$401=D20)*($AF$2:$AF$401&gt;=AF20-5)*($AF$2:$AF$401&lt;=AF20-1)*($N$2:$N$401&lt;&gt;""),$N$2:$N$401)),""))</f>
        <v/>
      </c>
      <c r="AJ20" s="16" t="str">
        <f aca="false">IF(AND(ISNUMBER(N20),ISNUMBER(AI20)),IF(AI20&gt;0,N20/AI20,""),"")</f>
        <v/>
      </c>
      <c r="AK20" s="12" t="str">
        <f aca="false" t="array" ref="AK20:AK20">IF(D20="","",IFERROR(MEDIAN(IF(($D$2:$D$401=D20)*ISNUMBER($R$2:$R$401),$R$2:$R$401)),""))</f>
        <v/>
      </c>
      <c r="AL20" s="17" t="str">
        <f aca="false">IF(ISNUMBER(AJ20),IF(AND(AJ20&gt;=Resumen!$C$5,OR(NOT(ISNUMBER(R20)),NOT(ISNUMBER(AK20)),R20&gt;=AK20)),"Ganador",IF(AJ20&lt;=Resumen!$C$6,"Perdedor","Normal")),IF(ISNUMBER(AH20),IF(AH20&gt;=Resumen!$C$5,"Ganador (7 d, provisional)",IF(AH20&lt;=Resumen!$C$6,"Perdedor (7 d, provisional)","Normal (7 d, provisional)")),""))</f>
        <v/>
      </c>
      <c r="AM20" s="18" t="str">
        <f aca="false">IF(AND(ISNUMBER(Z20),ISNUMBER(N20)),IF(N20&gt;0,Z20/N20*1000,""),"")</f>
        <v/>
      </c>
      <c r="AN20" s="19" t="str">
        <f aca="false">IF(AND(ISNUMBER(U20),ISNUMBER(N20)),IF(N20&gt;0,U20/N20*1000,""),"")</f>
        <v/>
      </c>
    </row>
    <row r="21" customFormat="false" ht="15" hidden="false" customHeight="false" outlineLevel="0" collapsed="false">
      <c r="A21" s="7"/>
      <c r="B21" s="7"/>
      <c r="C21" s="8"/>
      <c r="D21" s="7"/>
      <c r="E21" s="7"/>
      <c r="F21" s="7"/>
      <c r="G21" s="7"/>
      <c r="H21" s="7"/>
      <c r="I21" s="7"/>
      <c r="J21" s="7"/>
      <c r="K21" s="9"/>
      <c r="L21" s="10"/>
      <c r="M21" s="10"/>
      <c r="N21" s="10"/>
      <c r="O21" s="10"/>
      <c r="P21" s="11"/>
      <c r="Q21" s="9"/>
      <c r="R21" s="12" t="str">
        <f aca="false">IF(AND(ISNUMBER(K21),ISNUMBER(Q21),K21&gt;0),Q21/K21,"")</f>
        <v/>
      </c>
      <c r="S21" s="11"/>
      <c r="T21" s="9"/>
      <c r="U21" s="10"/>
      <c r="V21" s="11"/>
      <c r="W21" s="11"/>
      <c r="X21" s="11"/>
      <c r="Y21" s="12" t="str">
        <f aca="false">IF(COUNT(V21:X21)=0,"",MAX(0,1-SUM(V21:X21)))</f>
        <v/>
      </c>
      <c r="Z21" s="13"/>
      <c r="AA21" s="9"/>
      <c r="AB21" s="7"/>
      <c r="AC21" s="7"/>
      <c r="AD21" s="7"/>
      <c r="AE21" s="7"/>
      <c r="AF21" s="14" t="str">
        <f aca="false">IF(D21="","",COUNTIF($D$2:D21,D21))</f>
        <v/>
      </c>
      <c r="AG21" s="15" t="str">
        <f aca="false" t="array" ref="AG21:AG21">IF(D21="","",IFERROR(MEDIAN(IF(($D$2:$D$401=D21)*($AF$2:$AF$401&gt;=AF21-5)*($AF$2:$AF$401&lt;=AF21-1)*($M$2:$M$401&lt;&gt;""),$M$2:$M$401)),""))</f>
        <v/>
      </c>
      <c r="AH21" s="16" t="str">
        <f aca="false">IF(AND(ISNUMBER(M21),ISNUMBER(AG21)),IF(AG21&gt;0,M21/AG21,""),"")</f>
        <v/>
      </c>
      <c r="AI21" s="15" t="str">
        <f aca="false" t="array" ref="AI21:AI21">IF(D21="","",IFERROR(MEDIAN(IF(($D$2:$D$401=D21)*($AF$2:$AF$401&gt;=AF21-5)*($AF$2:$AF$401&lt;=AF21-1)*($N$2:$N$401&lt;&gt;""),$N$2:$N$401)),""))</f>
        <v/>
      </c>
      <c r="AJ21" s="16" t="str">
        <f aca="false">IF(AND(ISNUMBER(N21),ISNUMBER(AI21)),IF(AI21&gt;0,N21/AI21,""),"")</f>
        <v/>
      </c>
      <c r="AK21" s="12" t="str">
        <f aca="false" t="array" ref="AK21:AK21">IF(D21="","",IFERROR(MEDIAN(IF(($D$2:$D$401=D21)*ISNUMBER($R$2:$R$401),$R$2:$R$401)),""))</f>
        <v/>
      </c>
      <c r="AL21" s="17" t="str">
        <f aca="false">IF(ISNUMBER(AJ21),IF(AND(AJ21&gt;=Resumen!$C$5,OR(NOT(ISNUMBER(R21)),NOT(ISNUMBER(AK21)),R21&gt;=AK21)),"Ganador",IF(AJ21&lt;=Resumen!$C$6,"Perdedor","Normal")),IF(ISNUMBER(AH21),IF(AH21&gt;=Resumen!$C$5,"Ganador (7 d, provisional)",IF(AH21&lt;=Resumen!$C$6,"Perdedor (7 d, provisional)","Normal (7 d, provisional)")),""))</f>
        <v/>
      </c>
      <c r="AM21" s="18" t="str">
        <f aca="false">IF(AND(ISNUMBER(Z21),ISNUMBER(N21)),IF(N21&gt;0,Z21/N21*1000,""),"")</f>
        <v/>
      </c>
      <c r="AN21" s="19" t="str">
        <f aca="false">IF(AND(ISNUMBER(U21),ISNUMBER(N21)),IF(N21&gt;0,U21/N21*1000,""),"")</f>
        <v/>
      </c>
    </row>
    <row r="22" customFormat="false" ht="15" hidden="false" customHeight="false" outlineLevel="0" collapsed="false">
      <c r="A22" s="7"/>
      <c r="B22" s="7"/>
      <c r="C22" s="8"/>
      <c r="D22" s="7"/>
      <c r="E22" s="7"/>
      <c r="F22" s="7"/>
      <c r="G22" s="7"/>
      <c r="H22" s="7"/>
      <c r="I22" s="7"/>
      <c r="J22" s="7"/>
      <c r="K22" s="9"/>
      <c r="L22" s="10"/>
      <c r="M22" s="10"/>
      <c r="N22" s="10"/>
      <c r="O22" s="10"/>
      <c r="P22" s="11"/>
      <c r="Q22" s="9"/>
      <c r="R22" s="12" t="str">
        <f aca="false">IF(AND(ISNUMBER(K22),ISNUMBER(Q22),K22&gt;0),Q22/K22,"")</f>
        <v/>
      </c>
      <c r="S22" s="11"/>
      <c r="T22" s="9"/>
      <c r="U22" s="10"/>
      <c r="V22" s="11"/>
      <c r="W22" s="11"/>
      <c r="X22" s="11"/>
      <c r="Y22" s="12" t="str">
        <f aca="false">IF(COUNT(V22:X22)=0,"",MAX(0,1-SUM(V22:X22)))</f>
        <v/>
      </c>
      <c r="Z22" s="13"/>
      <c r="AA22" s="9"/>
      <c r="AB22" s="7"/>
      <c r="AC22" s="7"/>
      <c r="AD22" s="7"/>
      <c r="AE22" s="7"/>
      <c r="AF22" s="14" t="str">
        <f aca="false">IF(D22="","",COUNTIF($D$2:D22,D22))</f>
        <v/>
      </c>
      <c r="AG22" s="15" t="str">
        <f aca="false" t="array" ref="AG22:AG22">IF(D22="","",IFERROR(MEDIAN(IF(($D$2:$D$401=D22)*($AF$2:$AF$401&gt;=AF22-5)*($AF$2:$AF$401&lt;=AF22-1)*($M$2:$M$401&lt;&gt;""),$M$2:$M$401)),""))</f>
        <v/>
      </c>
      <c r="AH22" s="16" t="str">
        <f aca="false">IF(AND(ISNUMBER(M22),ISNUMBER(AG22)),IF(AG22&gt;0,M22/AG22,""),"")</f>
        <v/>
      </c>
      <c r="AI22" s="15" t="str">
        <f aca="false" t="array" ref="AI22:AI22">IF(D22="","",IFERROR(MEDIAN(IF(($D$2:$D$401=D22)*($AF$2:$AF$401&gt;=AF22-5)*($AF$2:$AF$401&lt;=AF22-1)*($N$2:$N$401&lt;&gt;""),$N$2:$N$401)),""))</f>
        <v/>
      </c>
      <c r="AJ22" s="16" t="str">
        <f aca="false">IF(AND(ISNUMBER(N22),ISNUMBER(AI22)),IF(AI22&gt;0,N22/AI22,""),"")</f>
        <v/>
      </c>
      <c r="AK22" s="12" t="str">
        <f aca="false" t="array" ref="AK22:AK22">IF(D22="","",IFERROR(MEDIAN(IF(($D$2:$D$401=D22)*ISNUMBER($R$2:$R$401),$R$2:$R$401)),""))</f>
        <v/>
      </c>
      <c r="AL22" s="17" t="str">
        <f aca="false">IF(ISNUMBER(AJ22),IF(AND(AJ22&gt;=Resumen!$C$5,OR(NOT(ISNUMBER(R22)),NOT(ISNUMBER(AK22)),R22&gt;=AK22)),"Ganador",IF(AJ22&lt;=Resumen!$C$6,"Perdedor","Normal")),IF(ISNUMBER(AH22),IF(AH22&gt;=Resumen!$C$5,"Ganador (7 d, provisional)",IF(AH22&lt;=Resumen!$C$6,"Perdedor (7 d, provisional)","Normal (7 d, provisional)")),""))</f>
        <v/>
      </c>
      <c r="AM22" s="18" t="str">
        <f aca="false">IF(AND(ISNUMBER(Z22),ISNUMBER(N22)),IF(N22&gt;0,Z22/N22*1000,""),"")</f>
        <v/>
      </c>
      <c r="AN22" s="19" t="str">
        <f aca="false">IF(AND(ISNUMBER(U22),ISNUMBER(N22)),IF(N22&gt;0,U22/N22*1000,""),"")</f>
        <v/>
      </c>
    </row>
    <row r="23" customFormat="false" ht="15" hidden="false" customHeight="false" outlineLevel="0" collapsed="false">
      <c r="A23" s="7"/>
      <c r="B23" s="7"/>
      <c r="C23" s="8"/>
      <c r="D23" s="7"/>
      <c r="E23" s="7"/>
      <c r="F23" s="7"/>
      <c r="G23" s="7"/>
      <c r="H23" s="7"/>
      <c r="I23" s="7"/>
      <c r="J23" s="7"/>
      <c r="K23" s="9"/>
      <c r="L23" s="10"/>
      <c r="M23" s="10"/>
      <c r="N23" s="10"/>
      <c r="O23" s="10"/>
      <c r="P23" s="11"/>
      <c r="Q23" s="9"/>
      <c r="R23" s="12" t="str">
        <f aca="false">IF(AND(ISNUMBER(K23),ISNUMBER(Q23),K23&gt;0),Q23/K23,"")</f>
        <v/>
      </c>
      <c r="S23" s="11"/>
      <c r="T23" s="9"/>
      <c r="U23" s="10"/>
      <c r="V23" s="11"/>
      <c r="W23" s="11"/>
      <c r="X23" s="11"/>
      <c r="Y23" s="12" t="str">
        <f aca="false">IF(COUNT(V23:X23)=0,"",MAX(0,1-SUM(V23:X23)))</f>
        <v/>
      </c>
      <c r="Z23" s="13"/>
      <c r="AA23" s="9"/>
      <c r="AB23" s="7"/>
      <c r="AC23" s="7"/>
      <c r="AD23" s="7"/>
      <c r="AE23" s="7"/>
      <c r="AF23" s="14" t="str">
        <f aca="false">IF(D23="","",COUNTIF($D$2:D23,D23))</f>
        <v/>
      </c>
      <c r="AG23" s="15" t="str">
        <f aca="false" t="array" ref="AG23:AG23">IF(D23="","",IFERROR(MEDIAN(IF(($D$2:$D$401=D23)*($AF$2:$AF$401&gt;=AF23-5)*($AF$2:$AF$401&lt;=AF23-1)*($M$2:$M$401&lt;&gt;""),$M$2:$M$401)),""))</f>
        <v/>
      </c>
      <c r="AH23" s="16" t="str">
        <f aca="false">IF(AND(ISNUMBER(M23),ISNUMBER(AG23)),IF(AG23&gt;0,M23/AG23,""),"")</f>
        <v/>
      </c>
      <c r="AI23" s="15" t="str">
        <f aca="false" t="array" ref="AI23:AI23">IF(D23="","",IFERROR(MEDIAN(IF(($D$2:$D$401=D23)*($AF$2:$AF$401&gt;=AF23-5)*($AF$2:$AF$401&lt;=AF23-1)*($N$2:$N$401&lt;&gt;""),$N$2:$N$401)),""))</f>
        <v/>
      </c>
      <c r="AJ23" s="16" t="str">
        <f aca="false">IF(AND(ISNUMBER(N23),ISNUMBER(AI23)),IF(AI23&gt;0,N23/AI23,""),"")</f>
        <v/>
      </c>
      <c r="AK23" s="12" t="str">
        <f aca="false" t="array" ref="AK23:AK23">IF(D23="","",IFERROR(MEDIAN(IF(($D$2:$D$401=D23)*ISNUMBER($R$2:$R$401),$R$2:$R$401)),""))</f>
        <v/>
      </c>
      <c r="AL23" s="17" t="str">
        <f aca="false">IF(ISNUMBER(AJ23),IF(AND(AJ23&gt;=Resumen!$C$5,OR(NOT(ISNUMBER(R23)),NOT(ISNUMBER(AK23)),R23&gt;=AK23)),"Ganador",IF(AJ23&lt;=Resumen!$C$6,"Perdedor","Normal")),IF(ISNUMBER(AH23),IF(AH23&gt;=Resumen!$C$5,"Ganador (7 d, provisional)",IF(AH23&lt;=Resumen!$C$6,"Perdedor (7 d, provisional)","Normal (7 d, provisional)")),""))</f>
        <v/>
      </c>
      <c r="AM23" s="18" t="str">
        <f aca="false">IF(AND(ISNUMBER(Z23),ISNUMBER(N23)),IF(N23&gt;0,Z23/N23*1000,""),"")</f>
        <v/>
      </c>
      <c r="AN23" s="19" t="str">
        <f aca="false">IF(AND(ISNUMBER(U23),ISNUMBER(N23)),IF(N23&gt;0,U23/N23*1000,""),"")</f>
        <v/>
      </c>
    </row>
    <row r="24" customFormat="false" ht="15" hidden="false" customHeight="false" outlineLevel="0" collapsed="false">
      <c r="A24" s="7"/>
      <c r="B24" s="7"/>
      <c r="C24" s="8"/>
      <c r="D24" s="7"/>
      <c r="E24" s="7"/>
      <c r="F24" s="7"/>
      <c r="G24" s="7"/>
      <c r="H24" s="7"/>
      <c r="I24" s="7"/>
      <c r="J24" s="7"/>
      <c r="K24" s="9"/>
      <c r="L24" s="10"/>
      <c r="M24" s="10"/>
      <c r="N24" s="10"/>
      <c r="O24" s="10"/>
      <c r="P24" s="11"/>
      <c r="Q24" s="9"/>
      <c r="R24" s="12" t="str">
        <f aca="false">IF(AND(ISNUMBER(K24),ISNUMBER(Q24),K24&gt;0),Q24/K24,"")</f>
        <v/>
      </c>
      <c r="S24" s="11"/>
      <c r="T24" s="9"/>
      <c r="U24" s="10"/>
      <c r="V24" s="11"/>
      <c r="W24" s="11"/>
      <c r="X24" s="11"/>
      <c r="Y24" s="12" t="str">
        <f aca="false">IF(COUNT(V24:X24)=0,"",MAX(0,1-SUM(V24:X24)))</f>
        <v/>
      </c>
      <c r="Z24" s="13"/>
      <c r="AA24" s="9"/>
      <c r="AB24" s="7"/>
      <c r="AC24" s="7"/>
      <c r="AD24" s="7"/>
      <c r="AE24" s="7"/>
      <c r="AF24" s="14" t="str">
        <f aca="false">IF(D24="","",COUNTIF($D$2:D24,D24))</f>
        <v/>
      </c>
      <c r="AG24" s="15" t="str">
        <f aca="false" t="array" ref="AG24:AG24">IF(D24="","",IFERROR(MEDIAN(IF(($D$2:$D$401=D24)*($AF$2:$AF$401&gt;=AF24-5)*($AF$2:$AF$401&lt;=AF24-1)*($M$2:$M$401&lt;&gt;""),$M$2:$M$401)),""))</f>
        <v/>
      </c>
      <c r="AH24" s="16" t="str">
        <f aca="false">IF(AND(ISNUMBER(M24),ISNUMBER(AG24)),IF(AG24&gt;0,M24/AG24,""),"")</f>
        <v/>
      </c>
      <c r="AI24" s="15" t="str">
        <f aca="false" t="array" ref="AI24:AI24">IF(D24="","",IFERROR(MEDIAN(IF(($D$2:$D$401=D24)*($AF$2:$AF$401&gt;=AF24-5)*($AF$2:$AF$401&lt;=AF24-1)*($N$2:$N$401&lt;&gt;""),$N$2:$N$401)),""))</f>
        <v/>
      </c>
      <c r="AJ24" s="16" t="str">
        <f aca="false">IF(AND(ISNUMBER(N24),ISNUMBER(AI24)),IF(AI24&gt;0,N24/AI24,""),"")</f>
        <v/>
      </c>
      <c r="AK24" s="12" t="str">
        <f aca="false" t="array" ref="AK24:AK24">IF(D24="","",IFERROR(MEDIAN(IF(($D$2:$D$401=D24)*ISNUMBER($R$2:$R$401),$R$2:$R$401)),""))</f>
        <v/>
      </c>
      <c r="AL24" s="17" t="str">
        <f aca="false">IF(ISNUMBER(AJ24),IF(AND(AJ24&gt;=Resumen!$C$5,OR(NOT(ISNUMBER(R24)),NOT(ISNUMBER(AK24)),R24&gt;=AK24)),"Ganador",IF(AJ24&lt;=Resumen!$C$6,"Perdedor","Normal")),IF(ISNUMBER(AH24),IF(AH24&gt;=Resumen!$C$5,"Ganador (7 d, provisional)",IF(AH24&lt;=Resumen!$C$6,"Perdedor (7 d, provisional)","Normal (7 d, provisional)")),""))</f>
        <v/>
      </c>
      <c r="AM24" s="18" t="str">
        <f aca="false">IF(AND(ISNUMBER(Z24),ISNUMBER(N24)),IF(N24&gt;0,Z24/N24*1000,""),"")</f>
        <v/>
      </c>
      <c r="AN24" s="19" t="str">
        <f aca="false">IF(AND(ISNUMBER(U24),ISNUMBER(N24)),IF(N24&gt;0,U24/N24*1000,""),"")</f>
        <v/>
      </c>
    </row>
    <row r="25" customFormat="false" ht="15" hidden="false" customHeight="false" outlineLevel="0" collapsed="false">
      <c r="A25" s="7"/>
      <c r="B25" s="7"/>
      <c r="C25" s="8"/>
      <c r="D25" s="7"/>
      <c r="E25" s="7"/>
      <c r="F25" s="7"/>
      <c r="G25" s="7"/>
      <c r="H25" s="7"/>
      <c r="I25" s="7"/>
      <c r="J25" s="7"/>
      <c r="K25" s="9"/>
      <c r="L25" s="10"/>
      <c r="M25" s="10"/>
      <c r="N25" s="10"/>
      <c r="O25" s="10"/>
      <c r="P25" s="11"/>
      <c r="Q25" s="9"/>
      <c r="R25" s="12" t="str">
        <f aca="false">IF(AND(ISNUMBER(K25),ISNUMBER(Q25),K25&gt;0),Q25/K25,"")</f>
        <v/>
      </c>
      <c r="S25" s="11"/>
      <c r="T25" s="9"/>
      <c r="U25" s="10"/>
      <c r="V25" s="11"/>
      <c r="W25" s="11"/>
      <c r="X25" s="11"/>
      <c r="Y25" s="12" t="str">
        <f aca="false">IF(COUNT(V25:X25)=0,"",MAX(0,1-SUM(V25:X25)))</f>
        <v/>
      </c>
      <c r="Z25" s="13"/>
      <c r="AA25" s="9"/>
      <c r="AB25" s="7"/>
      <c r="AC25" s="7"/>
      <c r="AD25" s="7"/>
      <c r="AE25" s="7"/>
      <c r="AF25" s="14" t="str">
        <f aca="false">IF(D25="","",COUNTIF($D$2:D25,D25))</f>
        <v/>
      </c>
      <c r="AG25" s="15" t="str">
        <f aca="false" t="array" ref="AG25:AG25">IF(D25="","",IFERROR(MEDIAN(IF(($D$2:$D$401=D25)*($AF$2:$AF$401&gt;=AF25-5)*($AF$2:$AF$401&lt;=AF25-1)*($M$2:$M$401&lt;&gt;""),$M$2:$M$401)),""))</f>
        <v/>
      </c>
      <c r="AH25" s="16" t="str">
        <f aca="false">IF(AND(ISNUMBER(M25),ISNUMBER(AG25)),IF(AG25&gt;0,M25/AG25,""),"")</f>
        <v/>
      </c>
      <c r="AI25" s="15" t="str">
        <f aca="false" t="array" ref="AI25:AI25">IF(D25="","",IFERROR(MEDIAN(IF(($D$2:$D$401=D25)*($AF$2:$AF$401&gt;=AF25-5)*($AF$2:$AF$401&lt;=AF25-1)*($N$2:$N$401&lt;&gt;""),$N$2:$N$401)),""))</f>
        <v/>
      </c>
      <c r="AJ25" s="16" t="str">
        <f aca="false">IF(AND(ISNUMBER(N25),ISNUMBER(AI25)),IF(AI25&gt;0,N25/AI25,""),"")</f>
        <v/>
      </c>
      <c r="AK25" s="12" t="str">
        <f aca="false" t="array" ref="AK25:AK25">IF(D25="","",IFERROR(MEDIAN(IF(($D$2:$D$401=D25)*ISNUMBER($R$2:$R$401),$R$2:$R$401)),""))</f>
        <v/>
      </c>
      <c r="AL25" s="17" t="str">
        <f aca="false">IF(ISNUMBER(AJ25),IF(AND(AJ25&gt;=Resumen!$C$5,OR(NOT(ISNUMBER(R25)),NOT(ISNUMBER(AK25)),R25&gt;=AK25)),"Ganador",IF(AJ25&lt;=Resumen!$C$6,"Perdedor","Normal")),IF(ISNUMBER(AH25),IF(AH25&gt;=Resumen!$C$5,"Ganador (7 d, provisional)",IF(AH25&lt;=Resumen!$C$6,"Perdedor (7 d, provisional)","Normal (7 d, provisional)")),""))</f>
        <v/>
      </c>
      <c r="AM25" s="18" t="str">
        <f aca="false">IF(AND(ISNUMBER(Z25),ISNUMBER(N25)),IF(N25&gt;0,Z25/N25*1000,""),"")</f>
        <v/>
      </c>
      <c r="AN25" s="19" t="str">
        <f aca="false">IF(AND(ISNUMBER(U25),ISNUMBER(N25)),IF(N25&gt;0,U25/N25*1000,""),"")</f>
        <v/>
      </c>
    </row>
    <row r="26" customFormat="false" ht="15" hidden="false" customHeight="false" outlineLevel="0" collapsed="false">
      <c r="A26" s="7"/>
      <c r="B26" s="7"/>
      <c r="C26" s="8"/>
      <c r="D26" s="7"/>
      <c r="E26" s="7"/>
      <c r="F26" s="7"/>
      <c r="G26" s="7"/>
      <c r="H26" s="7"/>
      <c r="I26" s="7"/>
      <c r="J26" s="7"/>
      <c r="K26" s="9"/>
      <c r="L26" s="10"/>
      <c r="M26" s="10"/>
      <c r="N26" s="10"/>
      <c r="O26" s="10"/>
      <c r="P26" s="11"/>
      <c r="Q26" s="9"/>
      <c r="R26" s="12" t="str">
        <f aca="false">IF(AND(ISNUMBER(K26),ISNUMBER(Q26),K26&gt;0),Q26/K26,"")</f>
        <v/>
      </c>
      <c r="S26" s="11"/>
      <c r="T26" s="9"/>
      <c r="U26" s="10"/>
      <c r="V26" s="11"/>
      <c r="W26" s="11"/>
      <c r="X26" s="11"/>
      <c r="Y26" s="12" t="str">
        <f aca="false">IF(COUNT(V26:X26)=0,"",MAX(0,1-SUM(V26:X26)))</f>
        <v/>
      </c>
      <c r="Z26" s="13"/>
      <c r="AA26" s="9"/>
      <c r="AB26" s="7"/>
      <c r="AC26" s="7"/>
      <c r="AD26" s="7"/>
      <c r="AE26" s="7"/>
      <c r="AF26" s="14" t="str">
        <f aca="false">IF(D26="","",COUNTIF($D$2:D26,D26))</f>
        <v/>
      </c>
      <c r="AG26" s="15" t="str">
        <f aca="false" t="array" ref="AG26:AG26">IF(D26="","",IFERROR(MEDIAN(IF(($D$2:$D$401=D26)*($AF$2:$AF$401&gt;=AF26-5)*($AF$2:$AF$401&lt;=AF26-1)*($M$2:$M$401&lt;&gt;""),$M$2:$M$401)),""))</f>
        <v/>
      </c>
      <c r="AH26" s="16" t="str">
        <f aca="false">IF(AND(ISNUMBER(M26),ISNUMBER(AG26)),IF(AG26&gt;0,M26/AG26,""),"")</f>
        <v/>
      </c>
      <c r="AI26" s="15" t="str">
        <f aca="false" t="array" ref="AI26:AI26">IF(D26="","",IFERROR(MEDIAN(IF(($D$2:$D$401=D26)*($AF$2:$AF$401&gt;=AF26-5)*($AF$2:$AF$401&lt;=AF26-1)*($N$2:$N$401&lt;&gt;""),$N$2:$N$401)),""))</f>
        <v/>
      </c>
      <c r="AJ26" s="16" t="str">
        <f aca="false">IF(AND(ISNUMBER(N26),ISNUMBER(AI26)),IF(AI26&gt;0,N26/AI26,""),"")</f>
        <v/>
      </c>
      <c r="AK26" s="12" t="str">
        <f aca="false" t="array" ref="AK26:AK26">IF(D26="","",IFERROR(MEDIAN(IF(($D$2:$D$401=D26)*ISNUMBER($R$2:$R$401),$R$2:$R$401)),""))</f>
        <v/>
      </c>
      <c r="AL26" s="17" t="str">
        <f aca="false">IF(ISNUMBER(AJ26),IF(AND(AJ26&gt;=Resumen!$C$5,OR(NOT(ISNUMBER(R26)),NOT(ISNUMBER(AK26)),R26&gt;=AK26)),"Ganador",IF(AJ26&lt;=Resumen!$C$6,"Perdedor","Normal")),IF(ISNUMBER(AH26),IF(AH26&gt;=Resumen!$C$5,"Ganador (7 d, provisional)",IF(AH26&lt;=Resumen!$C$6,"Perdedor (7 d, provisional)","Normal (7 d, provisional)")),""))</f>
        <v/>
      </c>
      <c r="AM26" s="18" t="str">
        <f aca="false">IF(AND(ISNUMBER(Z26),ISNUMBER(N26)),IF(N26&gt;0,Z26/N26*1000,""),"")</f>
        <v/>
      </c>
      <c r="AN26" s="19" t="str">
        <f aca="false">IF(AND(ISNUMBER(U26),ISNUMBER(N26)),IF(N26&gt;0,U26/N26*1000,""),"")</f>
        <v/>
      </c>
    </row>
    <row r="27" customFormat="false" ht="15" hidden="false" customHeight="false" outlineLevel="0" collapsed="false">
      <c r="A27" s="7"/>
      <c r="B27" s="7"/>
      <c r="C27" s="8"/>
      <c r="D27" s="7"/>
      <c r="E27" s="7"/>
      <c r="F27" s="7"/>
      <c r="G27" s="7"/>
      <c r="H27" s="7"/>
      <c r="I27" s="7"/>
      <c r="J27" s="7"/>
      <c r="K27" s="9"/>
      <c r="L27" s="10"/>
      <c r="M27" s="10"/>
      <c r="N27" s="10"/>
      <c r="O27" s="10"/>
      <c r="P27" s="11"/>
      <c r="Q27" s="9"/>
      <c r="R27" s="12" t="str">
        <f aca="false">IF(AND(ISNUMBER(K27),ISNUMBER(Q27),K27&gt;0),Q27/K27,"")</f>
        <v/>
      </c>
      <c r="S27" s="11"/>
      <c r="T27" s="9"/>
      <c r="U27" s="10"/>
      <c r="V27" s="11"/>
      <c r="W27" s="11"/>
      <c r="X27" s="11"/>
      <c r="Y27" s="12" t="str">
        <f aca="false">IF(COUNT(V27:X27)=0,"",MAX(0,1-SUM(V27:X27)))</f>
        <v/>
      </c>
      <c r="Z27" s="13"/>
      <c r="AA27" s="9"/>
      <c r="AB27" s="7"/>
      <c r="AC27" s="7"/>
      <c r="AD27" s="7"/>
      <c r="AE27" s="7"/>
      <c r="AF27" s="14" t="str">
        <f aca="false">IF(D27="","",COUNTIF($D$2:D27,D27))</f>
        <v/>
      </c>
      <c r="AG27" s="15" t="str">
        <f aca="false" t="array" ref="AG27:AG27">IF(D27="","",IFERROR(MEDIAN(IF(($D$2:$D$401=D27)*($AF$2:$AF$401&gt;=AF27-5)*($AF$2:$AF$401&lt;=AF27-1)*($M$2:$M$401&lt;&gt;""),$M$2:$M$401)),""))</f>
        <v/>
      </c>
      <c r="AH27" s="16" t="str">
        <f aca="false">IF(AND(ISNUMBER(M27),ISNUMBER(AG27)),IF(AG27&gt;0,M27/AG27,""),"")</f>
        <v/>
      </c>
      <c r="AI27" s="15" t="str">
        <f aca="false" t="array" ref="AI27:AI27">IF(D27="","",IFERROR(MEDIAN(IF(($D$2:$D$401=D27)*($AF$2:$AF$401&gt;=AF27-5)*($AF$2:$AF$401&lt;=AF27-1)*($N$2:$N$401&lt;&gt;""),$N$2:$N$401)),""))</f>
        <v/>
      </c>
      <c r="AJ27" s="16" t="str">
        <f aca="false">IF(AND(ISNUMBER(N27),ISNUMBER(AI27)),IF(AI27&gt;0,N27/AI27,""),"")</f>
        <v/>
      </c>
      <c r="AK27" s="12" t="str">
        <f aca="false" t="array" ref="AK27:AK27">IF(D27="","",IFERROR(MEDIAN(IF(($D$2:$D$401=D27)*ISNUMBER($R$2:$R$401),$R$2:$R$401)),""))</f>
        <v/>
      </c>
      <c r="AL27" s="17" t="str">
        <f aca="false">IF(ISNUMBER(AJ27),IF(AND(AJ27&gt;=Resumen!$C$5,OR(NOT(ISNUMBER(R27)),NOT(ISNUMBER(AK27)),R27&gt;=AK27)),"Ganador",IF(AJ27&lt;=Resumen!$C$6,"Perdedor","Normal")),IF(ISNUMBER(AH27),IF(AH27&gt;=Resumen!$C$5,"Ganador (7 d, provisional)",IF(AH27&lt;=Resumen!$C$6,"Perdedor (7 d, provisional)","Normal (7 d, provisional)")),""))</f>
        <v/>
      </c>
      <c r="AM27" s="18" t="str">
        <f aca="false">IF(AND(ISNUMBER(Z27),ISNUMBER(N27)),IF(N27&gt;0,Z27/N27*1000,""),"")</f>
        <v/>
      </c>
      <c r="AN27" s="19" t="str">
        <f aca="false">IF(AND(ISNUMBER(U27),ISNUMBER(N27)),IF(N27&gt;0,U27/N27*1000,""),"")</f>
        <v/>
      </c>
    </row>
    <row r="28" customFormat="false" ht="15" hidden="false" customHeight="false" outlineLevel="0" collapsed="false">
      <c r="A28" s="7"/>
      <c r="B28" s="7"/>
      <c r="C28" s="8"/>
      <c r="D28" s="7"/>
      <c r="E28" s="7"/>
      <c r="F28" s="7"/>
      <c r="G28" s="7"/>
      <c r="H28" s="7"/>
      <c r="I28" s="7"/>
      <c r="J28" s="7"/>
      <c r="K28" s="9"/>
      <c r="L28" s="10"/>
      <c r="M28" s="10"/>
      <c r="N28" s="10"/>
      <c r="O28" s="10"/>
      <c r="P28" s="11"/>
      <c r="Q28" s="9"/>
      <c r="R28" s="12" t="str">
        <f aca="false">IF(AND(ISNUMBER(K28),ISNUMBER(Q28),K28&gt;0),Q28/K28,"")</f>
        <v/>
      </c>
      <c r="S28" s="11"/>
      <c r="T28" s="9"/>
      <c r="U28" s="10"/>
      <c r="V28" s="11"/>
      <c r="W28" s="11"/>
      <c r="X28" s="11"/>
      <c r="Y28" s="12" t="str">
        <f aca="false">IF(COUNT(V28:X28)=0,"",MAX(0,1-SUM(V28:X28)))</f>
        <v/>
      </c>
      <c r="Z28" s="13"/>
      <c r="AA28" s="9"/>
      <c r="AB28" s="7"/>
      <c r="AC28" s="7"/>
      <c r="AD28" s="7"/>
      <c r="AE28" s="7"/>
      <c r="AF28" s="14" t="str">
        <f aca="false">IF(D28="","",COUNTIF($D$2:D28,D28))</f>
        <v/>
      </c>
      <c r="AG28" s="15" t="str">
        <f aca="false" t="array" ref="AG28:AG28">IF(D28="","",IFERROR(MEDIAN(IF(($D$2:$D$401=D28)*($AF$2:$AF$401&gt;=AF28-5)*($AF$2:$AF$401&lt;=AF28-1)*($M$2:$M$401&lt;&gt;""),$M$2:$M$401)),""))</f>
        <v/>
      </c>
      <c r="AH28" s="16" t="str">
        <f aca="false">IF(AND(ISNUMBER(M28),ISNUMBER(AG28)),IF(AG28&gt;0,M28/AG28,""),"")</f>
        <v/>
      </c>
      <c r="AI28" s="15" t="str">
        <f aca="false" t="array" ref="AI28:AI28">IF(D28="","",IFERROR(MEDIAN(IF(($D$2:$D$401=D28)*($AF$2:$AF$401&gt;=AF28-5)*($AF$2:$AF$401&lt;=AF28-1)*($N$2:$N$401&lt;&gt;""),$N$2:$N$401)),""))</f>
        <v/>
      </c>
      <c r="AJ28" s="16" t="str">
        <f aca="false">IF(AND(ISNUMBER(N28),ISNUMBER(AI28)),IF(AI28&gt;0,N28/AI28,""),"")</f>
        <v/>
      </c>
      <c r="AK28" s="12" t="str">
        <f aca="false" t="array" ref="AK28:AK28">IF(D28="","",IFERROR(MEDIAN(IF(($D$2:$D$401=D28)*ISNUMBER($R$2:$R$401),$R$2:$R$401)),""))</f>
        <v/>
      </c>
      <c r="AL28" s="17" t="str">
        <f aca="false">IF(ISNUMBER(AJ28),IF(AND(AJ28&gt;=Resumen!$C$5,OR(NOT(ISNUMBER(R28)),NOT(ISNUMBER(AK28)),R28&gt;=AK28)),"Ganador",IF(AJ28&lt;=Resumen!$C$6,"Perdedor","Normal")),IF(ISNUMBER(AH28),IF(AH28&gt;=Resumen!$C$5,"Ganador (7 d, provisional)",IF(AH28&lt;=Resumen!$C$6,"Perdedor (7 d, provisional)","Normal (7 d, provisional)")),""))</f>
        <v/>
      </c>
      <c r="AM28" s="18" t="str">
        <f aca="false">IF(AND(ISNUMBER(Z28),ISNUMBER(N28)),IF(N28&gt;0,Z28/N28*1000,""),"")</f>
        <v/>
      </c>
      <c r="AN28" s="19" t="str">
        <f aca="false">IF(AND(ISNUMBER(U28),ISNUMBER(N28)),IF(N28&gt;0,U28/N28*1000,""),"")</f>
        <v/>
      </c>
    </row>
    <row r="29" customFormat="false" ht="15" hidden="false" customHeight="false" outlineLevel="0" collapsed="false">
      <c r="A29" s="7"/>
      <c r="B29" s="7"/>
      <c r="C29" s="8"/>
      <c r="D29" s="7"/>
      <c r="E29" s="7"/>
      <c r="F29" s="7"/>
      <c r="G29" s="7"/>
      <c r="H29" s="7"/>
      <c r="I29" s="7"/>
      <c r="J29" s="7"/>
      <c r="K29" s="9"/>
      <c r="L29" s="10"/>
      <c r="M29" s="10"/>
      <c r="N29" s="10"/>
      <c r="O29" s="10"/>
      <c r="P29" s="11"/>
      <c r="Q29" s="9"/>
      <c r="R29" s="12" t="str">
        <f aca="false">IF(AND(ISNUMBER(K29),ISNUMBER(Q29),K29&gt;0),Q29/K29,"")</f>
        <v/>
      </c>
      <c r="S29" s="11"/>
      <c r="T29" s="9"/>
      <c r="U29" s="10"/>
      <c r="V29" s="11"/>
      <c r="W29" s="11"/>
      <c r="X29" s="11"/>
      <c r="Y29" s="12" t="str">
        <f aca="false">IF(COUNT(V29:X29)=0,"",MAX(0,1-SUM(V29:X29)))</f>
        <v/>
      </c>
      <c r="Z29" s="13"/>
      <c r="AA29" s="9"/>
      <c r="AB29" s="7"/>
      <c r="AC29" s="7"/>
      <c r="AD29" s="7"/>
      <c r="AE29" s="7"/>
      <c r="AF29" s="14" t="str">
        <f aca="false">IF(D29="","",COUNTIF($D$2:D29,D29))</f>
        <v/>
      </c>
      <c r="AG29" s="15" t="str">
        <f aca="false" t="array" ref="AG29:AG29">IF(D29="","",IFERROR(MEDIAN(IF(($D$2:$D$401=D29)*($AF$2:$AF$401&gt;=AF29-5)*($AF$2:$AF$401&lt;=AF29-1)*($M$2:$M$401&lt;&gt;""),$M$2:$M$401)),""))</f>
        <v/>
      </c>
      <c r="AH29" s="16" t="str">
        <f aca="false">IF(AND(ISNUMBER(M29),ISNUMBER(AG29)),IF(AG29&gt;0,M29/AG29,""),"")</f>
        <v/>
      </c>
      <c r="AI29" s="15" t="str">
        <f aca="false" t="array" ref="AI29:AI29">IF(D29="","",IFERROR(MEDIAN(IF(($D$2:$D$401=D29)*($AF$2:$AF$401&gt;=AF29-5)*($AF$2:$AF$401&lt;=AF29-1)*($N$2:$N$401&lt;&gt;""),$N$2:$N$401)),""))</f>
        <v/>
      </c>
      <c r="AJ29" s="16" t="str">
        <f aca="false">IF(AND(ISNUMBER(N29),ISNUMBER(AI29)),IF(AI29&gt;0,N29/AI29,""),"")</f>
        <v/>
      </c>
      <c r="AK29" s="12" t="str">
        <f aca="false" t="array" ref="AK29:AK29">IF(D29="","",IFERROR(MEDIAN(IF(($D$2:$D$401=D29)*ISNUMBER($R$2:$R$401),$R$2:$R$401)),""))</f>
        <v/>
      </c>
      <c r="AL29" s="17" t="str">
        <f aca="false">IF(ISNUMBER(AJ29),IF(AND(AJ29&gt;=Resumen!$C$5,OR(NOT(ISNUMBER(R29)),NOT(ISNUMBER(AK29)),R29&gt;=AK29)),"Ganador",IF(AJ29&lt;=Resumen!$C$6,"Perdedor","Normal")),IF(ISNUMBER(AH29),IF(AH29&gt;=Resumen!$C$5,"Ganador (7 d, provisional)",IF(AH29&lt;=Resumen!$C$6,"Perdedor (7 d, provisional)","Normal (7 d, provisional)")),""))</f>
        <v/>
      </c>
      <c r="AM29" s="18" t="str">
        <f aca="false">IF(AND(ISNUMBER(Z29),ISNUMBER(N29)),IF(N29&gt;0,Z29/N29*1000,""),"")</f>
        <v/>
      </c>
      <c r="AN29" s="19" t="str">
        <f aca="false">IF(AND(ISNUMBER(U29),ISNUMBER(N29)),IF(N29&gt;0,U29/N29*1000,""),"")</f>
        <v/>
      </c>
    </row>
    <row r="30" customFormat="false" ht="15" hidden="false" customHeight="false" outlineLevel="0" collapsed="false">
      <c r="A30" s="7"/>
      <c r="B30" s="7"/>
      <c r="C30" s="8"/>
      <c r="D30" s="7"/>
      <c r="E30" s="7"/>
      <c r="F30" s="7"/>
      <c r="G30" s="7"/>
      <c r="H30" s="7"/>
      <c r="I30" s="7"/>
      <c r="J30" s="7"/>
      <c r="K30" s="9"/>
      <c r="L30" s="10"/>
      <c r="M30" s="10"/>
      <c r="N30" s="10"/>
      <c r="O30" s="10"/>
      <c r="P30" s="11"/>
      <c r="Q30" s="9"/>
      <c r="R30" s="12" t="str">
        <f aca="false">IF(AND(ISNUMBER(K30),ISNUMBER(Q30),K30&gt;0),Q30/K30,"")</f>
        <v/>
      </c>
      <c r="S30" s="11"/>
      <c r="T30" s="9"/>
      <c r="U30" s="10"/>
      <c r="V30" s="11"/>
      <c r="W30" s="11"/>
      <c r="X30" s="11"/>
      <c r="Y30" s="12" t="str">
        <f aca="false">IF(COUNT(V30:X30)=0,"",MAX(0,1-SUM(V30:X30)))</f>
        <v/>
      </c>
      <c r="Z30" s="13"/>
      <c r="AA30" s="9"/>
      <c r="AB30" s="7"/>
      <c r="AC30" s="7"/>
      <c r="AD30" s="7"/>
      <c r="AE30" s="7"/>
      <c r="AF30" s="14" t="str">
        <f aca="false">IF(D30="","",COUNTIF($D$2:D30,D30))</f>
        <v/>
      </c>
      <c r="AG30" s="15" t="str">
        <f aca="false" t="array" ref="AG30:AG30">IF(D30="","",IFERROR(MEDIAN(IF(($D$2:$D$401=D30)*($AF$2:$AF$401&gt;=AF30-5)*($AF$2:$AF$401&lt;=AF30-1)*($M$2:$M$401&lt;&gt;""),$M$2:$M$401)),""))</f>
        <v/>
      </c>
      <c r="AH30" s="16" t="str">
        <f aca="false">IF(AND(ISNUMBER(M30),ISNUMBER(AG30)),IF(AG30&gt;0,M30/AG30,""),"")</f>
        <v/>
      </c>
      <c r="AI30" s="15" t="str">
        <f aca="false" t="array" ref="AI30:AI30">IF(D30="","",IFERROR(MEDIAN(IF(($D$2:$D$401=D30)*($AF$2:$AF$401&gt;=AF30-5)*($AF$2:$AF$401&lt;=AF30-1)*($N$2:$N$401&lt;&gt;""),$N$2:$N$401)),""))</f>
        <v/>
      </c>
      <c r="AJ30" s="16" t="str">
        <f aca="false">IF(AND(ISNUMBER(N30),ISNUMBER(AI30)),IF(AI30&gt;0,N30/AI30,""),"")</f>
        <v/>
      </c>
      <c r="AK30" s="12" t="str">
        <f aca="false" t="array" ref="AK30:AK30">IF(D30="","",IFERROR(MEDIAN(IF(($D$2:$D$401=D30)*ISNUMBER($R$2:$R$401),$R$2:$R$401)),""))</f>
        <v/>
      </c>
      <c r="AL30" s="17" t="str">
        <f aca="false">IF(ISNUMBER(AJ30),IF(AND(AJ30&gt;=Resumen!$C$5,OR(NOT(ISNUMBER(R30)),NOT(ISNUMBER(AK30)),R30&gt;=AK30)),"Ganador",IF(AJ30&lt;=Resumen!$C$6,"Perdedor","Normal")),IF(ISNUMBER(AH30),IF(AH30&gt;=Resumen!$C$5,"Ganador (7 d, provisional)",IF(AH30&lt;=Resumen!$C$6,"Perdedor (7 d, provisional)","Normal (7 d, provisional)")),""))</f>
        <v/>
      </c>
      <c r="AM30" s="18" t="str">
        <f aca="false">IF(AND(ISNUMBER(Z30),ISNUMBER(N30)),IF(N30&gt;0,Z30/N30*1000,""),"")</f>
        <v/>
      </c>
      <c r="AN30" s="19" t="str">
        <f aca="false">IF(AND(ISNUMBER(U30),ISNUMBER(N30)),IF(N30&gt;0,U30/N30*1000,""),"")</f>
        <v/>
      </c>
    </row>
    <row r="31" customFormat="false" ht="15" hidden="false" customHeight="false" outlineLevel="0" collapsed="false">
      <c r="A31" s="7"/>
      <c r="B31" s="7"/>
      <c r="C31" s="8"/>
      <c r="D31" s="7"/>
      <c r="E31" s="7"/>
      <c r="F31" s="7"/>
      <c r="G31" s="7"/>
      <c r="H31" s="7"/>
      <c r="I31" s="7"/>
      <c r="J31" s="7"/>
      <c r="K31" s="9"/>
      <c r="L31" s="10"/>
      <c r="M31" s="10"/>
      <c r="N31" s="10"/>
      <c r="O31" s="10"/>
      <c r="P31" s="11"/>
      <c r="Q31" s="9"/>
      <c r="R31" s="12" t="str">
        <f aca="false">IF(AND(ISNUMBER(K31),ISNUMBER(Q31),K31&gt;0),Q31/K31,"")</f>
        <v/>
      </c>
      <c r="S31" s="11"/>
      <c r="T31" s="9"/>
      <c r="U31" s="10"/>
      <c r="V31" s="11"/>
      <c r="W31" s="11"/>
      <c r="X31" s="11"/>
      <c r="Y31" s="12" t="str">
        <f aca="false">IF(COUNT(V31:X31)=0,"",MAX(0,1-SUM(V31:X31)))</f>
        <v/>
      </c>
      <c r="Z31" s="13"/>
      <c r="AA31" s="9"/>
      <c r="AB31" s="7"/>
      <c r="AC31" s="7"/>
      <c r="AD31" s="7"/>
      <c r="AE31" s="7"/>
      <c r="AF31" s="14" t="str">
        <f aca="false">IF(D31="","",COUNTIF($D$2:D31,D31))</f>
        <v/>
      </c>
      <c r="AG31" s="15" t="str">
        <f aca="false" t="array" ref="AG31:AG31">IF(D31="","",IFERROR(MEDIAN(IF(($D$2:$D$401=D31)*($AF$2:$AF$401&gt;=AF31-5)*($AF$2:$AF$401&lt;=AF31-1)*($M$2:$M$401&lt;&gt;""),$M$2:$M$401)),""))</f>
        <v/>
      </c>
      <c r="AH31" s="16" t="str">
        <f aca="false">IF(AND(ISNUMBER(M31),ISNUMBER(AG31)),IF(AG31&gt;0,M31/AG31,""),"")</f>
        <v/>
      </c>
      <c r="AI31" s="15" t="str">
        <f aca="false" t="array" ref="AI31:AI31">IF(D31="","",IFERROR(MEDIAN(IF(($D$2:$D$401=D31)*($AF$2:$AF$401&gt;=AF31-5)*($AF$2:$AF$401&lt;=AF31-1)*($N$2:$N$401&lt;&gt;""),$N$2:$N$401)),""))</f>
        <v/>
      </c>
      <c r="AJ31" s="16" t="str">
        <f aca="false">IF(AND(ISNUMBER(N31),ISNUMBER(AI31)),IF(AI31&gt;0,N31/AI31,""),"")</f>
        <v/>
      </c>
      <c r="AK31" s="12" t="str">
        <f aca="false" t="array" ref="AK31:AK31">IF(D31="","",IFERROR(MEDIAN(IF(($D$2:$D$401=D31)*ISNUMBER($R$2:$R$401),$R$2:$R$401)),""))</f>
        <v/>
      </c>
      <c r="AL31" s="17" t="str">
        <f aca="false">IF(ISNUMBER(AJ31),IF(AND(AJ31&gt;=Resumen!$C$5,OR(NOT(ISNUMBER(R31)),NOT(ISNUMBER(AK31)),R31&gt;=AK31)),"Ganador",IF(AJ31&lt;=Resumen!$C$6,"Perdedor","Normal")),IF(ISNUMBER(AH31),IF(AH31&gt;=Resumen!$C$5,"Ganador (7 d, provisional)",IF(AH31&lt;=Resumen!$C$6,"Perdedor (7 d, provisional)","Normal (7 d, provisional)")),""))</f>
        <v/>
      </c>
      <c r="AM31" s="18" t="str">
        <f aca="false">IF(AND(ISNUMBER(Z31),ISNUMBER(N31)),IF(N31&gt;0,Z31/N31*1000,""),"")</f>
        <v/>
      </c>
      <c r="AN31" s="19" t="str">
        <f aca="false">IF(AND(ISNUMBER(U31),ISNUMBER(N31)),IF(N31&gt;0,U31/N31*1000,""),"")</f>
        <v/>
      </c>
    </row>
    <row r="32" customFormat="false" ht="15" hidden="false" customHeight="false" outlineLevel="0" collapsed="false">
      <c r="A32" s="7"/>
      <c r="B32" s="7"/>
      <c r="C32" s="8"/>
      <c r="D32" s="7"/>
      <c r="E32" s="7"/>
      <c r="F32" s="7"/>
      <c r="G32" s="7"/>
      <c r="H32" s="7"/>
      <c r="I32" s="7"/>
      <c r="J32" s="7"/>
      <c r="K32" s="9"/>
      <c r="L32" s="10"/>
      <c r="M32" s="10"/>
      <c r="N32" s="10"/>
      <c r="O32" s="10"/>
      <c r="P32" s="11"/>
      <c r="Q32" s="9"/>
      <c r="R32" s="12" t="str">
        <f aca="false">IF(AND(ISNUMBER(K32),ISNUMBER(Q32),K32&gt;0),Q32/K32,"")</f>
        <v/>
      </c>
      <c r="S32" s="11"/>
      <c r="T32" s="9"/>
      <c r="U32" s="10"/>
      <c r="V32" s="11"/>
      <c r="W32" s="11"/>
      <c r="X32" s="11"/>
      <c r="Y32" s="12" t="str">
        <f aca="false">IF(COUNT(V32:X32)=0,"",MAX(0,1-SUM(V32:X32)))</f>
        <v/>
      </c>
      <c r="Z32" s="13"/>
      <c r="AA32" s="9"/>
      <c r="AB32" s="7"/>
      <c r="AC32" s="7"/>
      <c r="AD32" s="7"/>
      <c r="AE32" s="7"/>
      <c r="AF32" s="14" t="str">
        <f aca="false">IF(D32="","",COUNTIF($D$2:D32,D32))</f>
        <v/>
      </c>
      <c r="AG32" s="15" t="str">
        <f aca="false" t="array" ref="AG32:AG32">IF(D32="","",IFERROR(MEDIAN(IF(($D$2:$D$401=D32)*($AF$2:$AF$401&gt;=AF32-5)*($AF$2:$AF$401&lt;=AF32-1)*($M$2:$M$401&lt;&gt;""),$M$2:$M$401)),""))</f>
        <v/>
      </c>
      <c r="AH32" s="16" t="str">
        <f aca="false">IF(AND(ISNUMBER(M32),ISNUMBER(AG32)),IF(AG32&gt;0,M32/AG32,""),"")</f>
        <v/>
      </c>
      <c r="AI32" s="15" t="str">
        <f aca="false" t="array" ref="AI32:AI32">IF(D32="","",IFERROR(MEDIAN(IF(($D$2:$D$401=D32)*($AF$2:$AF$401&gt;=AF32-5)*($AF$2:$AF$401&lt;=AF32-1)*($N$2:$N$401&lt;&gt;""),$N$2:$N$401)),""))</f>
        <v/>
      </c>
      <c r="AJ32" s="16" t="str">
        <f aca="false">IF(AND(ISNUMBER(N32),ISNUMBER(AI32)),IF(AI32&gt;0,N32/AI32,""),"")</f>
        <v/>
      </c>
      <c r="AK32" s="12" t="str">
        <f aca="false" t="array" ref="AK32:AK32">IF(D32="","",IFERROR(MEDIAN(IF(($D$2:$D$401=D32)*ISNUMBER($R$2:$R$401),$R$2:$R$401)),""))</f>
        <v/>
      </c>
      <c r="AL32" s="17" t="str">
        <f aca="false">IF(ISNUMBER(AJ32),IF(AND(AJ32&gt;=Resumen!$C$5,OR(NOT(ISNUMBER(R32)),NOT(ISNUMBER(AK32)),R32&gt;=AK32)),"Ganador",IF(AJ32&lt;=Resumen!$C$6,"Perdedor","Normal")),IF(ISNUMBER(AH32),IF(AH32&gt;=Resumen!$C$5,"Ganador (7 d, provisional)",IF(AH32&lt;=Resumen!$C$6,"Perdedor (7 d, provisional)","Normal (7 d, provisional)")),""))</f>
        <v/>
      </c>
      <c r="AM32" s="18" t="str">
        <f aca="false">IF(AND(ISNUMBER(Z32),ISNUMBER(N32)),IF(N32&gt;0,Z32/N32*1000,""),"")</f>
        <v/>
      </c>
      <c r="AN32" s="19" t="str">
        <f aca="false">IF(AND(ISNUMBER(U32),ISNUMBER(N32)),IF(N32&gt;0,U32/N32*1000,""),"")</f>
        <v/>
      </c>
    </row>
    <row r="33" customFormat="false" ht="15" hidden="false" customHeight="false" outlineLevel="0" collapsed="false">
      <c r="A33" s="7"/>
      <c r="B33" s="7"/>
      <c r="C33" s="8"/>
      <c r="D33" s="7"/>
      <c r="E33" s="7"/>
      <c r="F33" s="7"/>
      <c r="G33" s="7"/>
      <c r="H33" s="7"/>
      <c r="I33" s="7"/>
      <c r="J33" s="7"/>
      <c r="K33" s="9"/>
      <c r="L33" s="10"/>
      <c r="M33" s="10"/>
      <c r="N33" s="10"/>
      <c r="O33" s="10"/>
      <c r="P33" s="11"/>
      <c r="Q33" s="9"/>
      <c r="R33" s="12" t="str">
        <f aca="false">IF(AND(ISNUMBER(K33),ISNUMBER(Q33),K33&gt;0),Q33/K33,"")</f>
        <v/>
      </c>
      <c r="S33" s="11"/>
      <c r="T33" s="9"/>
      <c r="U33" s="10"/>
      <c r="V33" s="11"/>
      <c r="W33" s="11"/>
      <c r="X33" s="11"/>
      <c r="Y33" s="12" t="str">
        <f aca="false">IF(COUNT(V33:X33)=0,"",MAX(0,1-SUM(V33:X33)))</f>
        <v/>
      </c>
      <c r="Z33" s="13"/>
      <c r="AA33" s="9"/>
      <c r="AB33" s="7"/>
      <c r="AC33" s="7"/>
      <c r="AD33" s="7"/>
      <c r="AE33" s="7"/>
      <c r="AF33" s="14" t="str">
        <f aca="false">IF(D33="","",COUNTIF($D$2:D33,D33))</f>
        <v/>
      </c>
      <c r="AG33" s="15" t="str">
        <f aca="false" t="array" ref="AG33:AG33">IF(D33="","",IFERROR(MEDIAN(IF(($D$2:$D$401=D33)*($AF$2:$AF$401&gt;=AF33-5)*($AF$2:$AF$401&lt;=AF33-1)*($M$2:$M$401&lt;&gt;""),$M$2:$M$401)),""))</f>
        <v/>
      </c>
      <c r="AH33" s="16" t="str">
        <f aca="false">IF(AND(ISNUMBER(M33),ISNUMBER(AG33)),IF(AG33&gt;0,M33/AG33,""),"")</f>
        <v/>
      </c>
      <c r="AI33" s="15" t="str">
        <f aca="false" t="array" ref="AI33:AI33">IF(D33="","",IFERROR(MEDIAN(IF(($D$2:$D$401=D33)*($AF$2:$AF$401&gt;=AF33-5)*($AF$2:$AF$401&lt;=AF33-1)*($N$2:$N$401&lt;&gt;""),$N$2:$N$401)),""))</f>
        <v/>
      </c>
      <c r="AJ33" s="16" t="str">
        <f aca="false">IF(AND(ISNUMBER(N33),ISNUMBER(AI33)),IF(AI33&gt;0,N33/AI33,""),"")</f>
        <v/>
      </c>
      <c r="AK33" s="12" t="str">
        <f aca="false" t="array" ref="AK33:AK33">IF(D33="","",IFERROR(MEDIAN(IF(($D$2:$D$401=D33)*ISNUMBER($R$2:$R$401),$R$2:$R$401)),""))</f>
        <v/>
      </c>
      <c r="AL33" s="17" t="str">
        <f aca="false">IF(ISNUMBER(AJ33),IF(AND(AJ33&gt;=Resumen!$C$5,OR(NOT(ISNUMBER(R33)),NOT(ISNUMBER(AK33)),R33&gt;=AK33)),"Ganador",IF(AJ33&lt;=Resumen!$C$6,"Perdedor","Normal")),IF(ISNUMBER(AH33),IF(AH33&gt;=Resumen!$C$5,"Ganador (7 d, provisional)",IF(AH33&lt;=Resumen!$C$6,"Perdedor (7 d, provisional)","Normal (7 d, provisional)")),""))</f>
        <v/>
      </c>
      <c r="AM33" s="18" t="str">
        <f aca="false">IF(AND(ISNUMBER(Z33),ISNUMBER(N33)),IF(N33&gt;0,Z33/N33*1000,""),"")</f>
        <v/>
      </c>
      <c r="AN33" s="19" t="str">
        <f aca="false">IF(AND(ISNUMBER(U33),ISNUMBER(N33)),IF(N33&gt;0,U33/N33*1000,""),"")</f>
        <v/>
      </c>
    </row>
    <row r="34" customFormat="false" ht="15" hidden="false" customHeight="false" outlineLevel="0" collapsed="false">
      <c r="A34" s="7"/>
      <c r="B34" s="7"/>
      <c r="C34" s="8"/>
      <c r="D34" s="7"/>
      <c r="E34" s="7"/>
      <c r="F34" s="7"/>
      <c r="G34" s="7"/>
      <c r="H34" s="7"/>
      <c r="I34" s="7"/>
      <c r="J34" s="7"/>
      <c r="K34" s="9"/>
      <c r="L34" s="10"/>
      <c r="M34" s="10"/>
      <c r="N34" s="10"/>
      <c r="O34" s="10"/>
      <c r="P34" s="11"/>
      <c r="Q34" s="9"/>
      <c r="R34" s="12" t="str">
        <f aca="false">IF(AND(ISNUMBER(K34),ISNUMBER(Q34),K34&gt;0),Q34/K34,"")</f>
        <v/>
      </c>
      <c r="S34" s="11"/>
      <c r="T34" s="9"/>
      <c r="U34" s="10"/>
      <c r="V34" s="11"/>
      <c r="W34" s="11"/>
      <c r="X34" s="11"/>
      <c r="Y34" s="12" t="str">
        <f aca="false">IF(COUNT(V34:X34)=0,"",MAX(0,1-SUM(V34:X34)))</f>
        <v/>
      </c>
      <c r="Z34" s="13"/>
      <c r="AA34" s="9"/>
      <c r="AB34" s="7"/>
      <c r="AC34" s="7"/>
      <c r="AD34" s="7"/>
      <c r="AE34" s="7"/>
      <c r="AF34" s="14" t="str">
        <f aca="false">IF(D34="","",COUNTIF($D$2:D34,D34))</f>
        <v/>
      </c>
      <c r="AG34" s="15" t="str">
        <f aca="false" t="array" ref="AG34:AG34">IF(D34="","",IFERROR(MEDIAN(IF(($D$2:$D$401=D34)*($AF$2:$AF$401&gt;=AF34-5)*($AF$2:$AF$401&lt;=AF34-1)*($M$2:$M$401&lt;&gt;""),$M$2:$M$401)),""))</f>
        <v/>
      </c>
      <c r="AH34" s="16" t="str">
        <f aca="false">IF(AND(ISNUMBER(M34),ISNUMBER(AG34)),IF(AG34&gt;0,M34/AG34,""),"")</f>
        <v/>
      </c>
      <c r="AI34" s="15" t="str">
        <f aca="false" t="array" ref="AI34:AI34">IF(D34="","",IFERROR(MEDIAN(IF(($D$2:$D$401=D34)*($AF$2:$AF$401&gt;=AF34-5)*($AF$2:$AF$401&lt;=AF34-1)*($N$2:$N$401&lt;&gt;""),$N$2:$N$401)),""))</f>
        <v/>
      </c>
      <c r="AJ34" s="16" t="str">
        <f aca="false">IF(AND(ISNUMBER(N34),ISNUMBER(AI34)),IF(AI34&gt;0,N34/AI34,""),"")</f>
        <v/>
      </c>
      <c r="AK34" s="12" t="str">
        <f aca="false" t="array" ref="AK34:AK34">IF(D34="","",IFERROR(MEDIAN(IF(($D$2:$D$401=D34)*ISNUMBER($R$2:$R$401),$R$2:$R$401)),""))</f>
        <v/>
      </c>
      <c r="AL34" s="17" t="str">
        <f aca="false">IF(ISNUMBER(AJ34),IF(AND(AJ34&gt;=Resumen!$C$5,OR(NOT(ISNUMBER(R34)),NOT(ISNUMBER(AK34)),R34&gt;=AK34)),"Ganador",IF(AJ34&lt;=Resumen!$C$6,"Perdedor","Normal")),IF(ISNUMBER(AH34),IF(AH34&gt;=Resumen!$C$5,"Ganador (7 d, provisional)",IF(AH34&lt;=Resumen!$C$6,"Perdedor (7 d, provisional)","Normal (7 d, provisional)")),""))</f>
        <v/>
      </c>
      <c r="AM34" s="18" t="str">
        <f aca="false">IF(AND(ISNUMBER(Z34),ISNUMBER(N34)),IF(N34&gt;0,Z34/N34*1000,""),"")</f>
        <v/>
      </c>
      <c r="AN34" s="19" t="str">
        <f aca="false">IF(AND(ISNUMBER(U34),ISNUMBER(N34)),IF(N34&gt;0,U34/N34*1000,""),"")</f>
        <v/>
      </c>
    </row>
    <row r="35" customFormat="false" ht="15" hidden="false" customHeight="false" outlineLevel="0" collapsed="false">
      <c r="A35" s="7"/>
      <c r="B35" s="7"/>
      <c r="C35" s="8"/>
      <c r="D35" s="7"/>
      <c r="E35" s="7"/>
      <c r="F35" s="7"/>
      <c r="G35" s="7"/>
      <c r="H35" s="7"/>
      <c r="I35" s="7"/>
      <c r="J35" s="7"/>
      <c r="K35" s="9"/>
      <c r="L35" s="10"/>
      <c r="M35" s="10"/>
      <c r="N35" s="10"/>
      <c r="O35" s="10"/>
      <c r="P35" s="11"/>
      <c r="Q35" s="9"/>
      <c r="R35" s="12" t="str">
        <f aca="false">IF(AND(ISNUMBER(K35),ISNUMBER(Q35),K35&gt;0),Q35/K35,"")</f>
        <v/>
      </c>
      <c r="S35" s="11"/>
      <c r="T35" s="9"/>
      <c r="U35" s="10"/>
      <c r="V35" s="11"/>
      <c r="W35" s="11"/>
      <c r="X35" s="11"/>
      <c r="Y35" s="12" t="str">
        <f aca="false">IF(COUNT(V35:X35)=0,"",MAX(0,1-SUM(V35:X35)))</f>
        <v/>
      </c>
      <c r="Z35" s="13"/>
      <c r="AA35" s="9"/>
      <c r="AB35" s="7"/>
      <c r="AC35" s="7"/>
      <c r="AD35" s="7"/>
      <c r="AE35" s="7"/>
      <c r="AF35" s="14" t="str">
        <f aca="false">IF(D35="","",COUNTIF($D$2:D35,D35))</f>
        <v/>
      </c>
      <c r="AG35" s="15" t="str">
        <f aca="false" t="array" ref="AG35:AG35">IF(D35="","",IFERROR(MEDIAN(IF(($D$2:$D$401=D35)*($AF$2:$AF$401&gt;=AF35-5)*($AF$2:$AF$401&lt;=AF35-1)*($M$2:$M$401&lt;&gt;""),$M$2:$M$401)),""))</f>
        <v/>
      </c>
      <c r="AH35" s="16" t="str">
        <f aca="false">IF(AND(ISNUMBER(M35),ISNUMBER(AG35)),IF(AG35&gt;0,M35/AG35,""),"")</f>
        <v/>
      </c>
      <c r="AI35" s="15" t="str">
        <f aca="false" t="array" ref="AI35:AI35">IF(D35="","",IFERROR(MEDIAN(IF(($D$2:$D$401=D35)*($AF$2:$AF$401&gt;=AF35-5)*($AF$2:$AF$401&lt;=AF35-1)*($N$2:$N$401&lt;&gt;""),$N$2:$N$401)),""))</f>
        <v/>
      </c>
      <c r="AJ35" s="16" t="str">
        <f aca="false">IF(AND(ISNUMBER(N35),ISNUMBER(AI35)),IF(AI35&gt;0,N35/AI35,""),"")</f>
        <v/>
      </c>
      <c r="AK35" s="12" t="str">
        <f aca="false" t="array" ref="AK35:AK35">IF(D35="","",IFERROR(MEDIAN(IF(($D$2:$D$401=D35)*ISNUMBER($R$2:$R$401),$R$2:$R$401)),""))</f>
        <v/>
      </c>
      <c r="AL35" s="17" t="str">
        <f aca="false">IF(ISNUMBER(AJ35),IF(AND(AJ35&gt;=Resumen!$C$5,OR(NOT(ISNUMBER(R35)),NOT(ISNUMBER(AK35)),R35&gt;=AK35)),"Ganador",IF(AJ35&lt;=Resumen!$C$6,"Perdedor","Normal")),IF(ISNUMBER(AH35),IF(AH35&gt;=Resumen!$C$5,"Ganador (7 d, provisional)",IF(AH35&lt;=Resumen!$C$6,"Perdedor (7 d, provisional)","Normal (7 d, provisional)")),""))</f>
        <v/>
      </c>
      <c r="AM35" s="18" t="str">
        <f aca="false">IF(AND(ISNUMBER(Z35),ISNUMBER(N35)),IF(N35&gt;0,Z35/N35*1000,""),"")</f>
        <v/>
      </c>
      <c r="AN35" s="19" t="str">
        <f aca="false">IF(AND(ISNUMBER(U35),ISNUMBER(N35)),IF(N35&gt;0,U35/N35*1000,""),"")</f>
        <v/>
      </c>
    </row>
    <row r="36" customFormat="false" ht="15" hidden="false" customHeight="false" outlineLevel="0" collapsed="false">
      <c r="A36" s="7"/>
      <c r="B36" s="7"/>
      <c r="C36" s="8"/>
      <c r="D36" s="7"/>
      <c r="E36" s="7"/>
      <c r="F36" s="7"/>
      <c r="G36" s="7"/>
      <c r="H36" s="7"/>
      <c r="I36" s="7"/>
      <c r="J36" s="7"/>
      <c r="K36" s="9"/>
      <c r="L36" s="10"/>
      <c r="M36" s="10"/>
      <c r="N36" s="10"/>
      <c r="O36" s="10"/>
      <c r="P36" s="11"/>
      <c r="Q36" s="9"/>
      <c r="R36" s="12" t="str">
        <f aca="false">IF(AND(ISNUMBER(K36),ISNUMBER(Q36),K36&gt;0),Q36/K36,"")</f>
        <v/>
      </c>
      <c r="S36" s="11"/>
      <c r="T36" s="9"/>
      <c r="U36" s="10"/>
      <c r="V36" s="11"/>
      <c r="W36" s="11"/>
      <c r="X36" s="11"/>
      <c r="Y36" s="12" t="str">
        <f aca="false">IF(COUNT(V36:X36)=0,"",MAX(0,1-SUM(V36:X36)))</f>
        <v/>
      </c>
      <c r="Z36" s="13"/>
      <c r="AA36" s="9"/>
      <c r="AB36" s="7"/>
      <c r="AC36" s="7"/>
      <c r="AD36" s="7"/>
      <c r="AE36" s="7"/>
      <c r="AF36" s="14" t="str">
        <f aca="false">IF(D36="","",COUNTIF($D$2:D36,D36))</f>
        <v/>
      </c>
      <c r="AG36" s="15" t="str">
        <f aca="false" t="array" ref="AG36:AG36">IF(D36="","",IFERROR(MEDIAN(IF(($D$2:$D$401=D36)*($AF$2:$AF$401&gt;=AF36-5)*($AF$2:$AF$401&lt;=AF36-1)*($M$2:$M$401&lt;&gt;""),$M$2:$M$401)),""))</f>
        <v/>
      </c>
      <c r="AH36" s="16" t="str">
        <f aca="false">IF(AND(ISNUMBER(M36),ISNUMBER(AG36)),IF(AG36&gt;0,M36/AG36,""),"")</f>
        <v/>
      </c>
      <c r="AI36" s="15" t="str">
        <f aca="false" t="array" ref="AI36:AI36">IF(D36="","",IFERROR(MEDIAN(IF(($D$2:$D$401=D36)*($AF$2:$AF$401&gt;=AF36-5)*($AF$2:$AF$401&lt;=AF36-1)*($N$2:$N$401&lt;&gt;""),$N$2:$N$401)),""))</f>
        <v/>
      </c>
      <c r="AJ36" s="16" t="str">
        <f aca="false">IF(AND(ISNUMBER(N36),ISNUMBER(AI36)),IF(AI36&gt;0,N36/AI36,""),"")</f>
        <v/>
      </c>
      <c r="AK36" s="12" t="str">
        <f aca="false" t="array" ref="AK36:AK36">IF(D36="","",IFERROR(MEDIAN(IF(($D$2:$D$401=D36)*ISNUMBER($R$2:$R$401),$R$2:$R$401)),""))</f>
        <v/>
      </c>
      <c r="AL36" s="17" t="str">
        <f aca="false">IF(ISNUMBER(AJ36),IF(AND(AJ36&gt;=Resumen!$C$5,OR(NOT(ISNUMBER(R36)),NOT(ISNUMBER(AK36)),R36&gt;=AK36)),"Ganador",IF(AJ36&lt;=Resumen!$C$6,"Perdedor","Normal")),IF(ISNUMBER(AH36),IF(AH36&gt;=Resumen!$C$5,"Ganador (7 d, provisional)",IF(AH36&lt;=Resumen!$C$6,"Perdedor (7 d, provisional)","Normal (7 d, provisional)")),""))</f>
        <v/>
      </c>
      <c r="AM36" s="18" t="str">
        <f aca="false">IF(AND(ISNUMBER(Z36),ISNUMBER(N36)),IF(N36&gt;0,Z36/N36*1000,""),"")</f>
        <v/>
      </c>
      <c r="AN36" s="19" t="str">
        <f aca="false">IF(AND(ISNUMBER(U36),ISNUMBER(N36)),IF(N36&gt;0,U36/N36*1000,""),"")</f>
        <v/>
      </c>
    </row>
    <row r="37" customFormat="false" ht="15" hidden="false" customHeight="false" outlineLevel="0" collapsed="false">
      <c r="A37" s="7"/>
      <c r="B37" s="7"/>
      <c r="C37" s="8"/>
      <c r="D37" s="7"/>
      <c r="E37" s="7"/>
      <c r="F37" s="7"/>
      <c r="G37" s="7"/>
      <c r="H37" s="7"/>
      <c r="I37" s="7"/>
      <c r="J37" s="7"/>
      <c r="K37" s="9"/>
      <c r="L37" s="10"/>
      <c r="M37" s="10"/>
      <c r="N37" s="10"/>
      <c r="O37" s="10"/>
      <c r="P37" s="11"/>
      <c r="Q37" s="9"/>
      <c r="R37" s="12" t="str">
        <f aca="false">IF(AND(ISNUMBER(K37),ISNUMBER(Q37),K37&gt;0),Q37/K37,"")</f>
        <v/>
      </c>
      <c r="S37" s="11"/>
      <c r="T37" s="9"/>
      <c r="U37" s="10"/>
      <c r="V37" s="11"/>
      <c r="W37" s="11"/>
      <c r="X37" s="11"/>
      <c r="Y37" s="12" t="str">
        <f aca="false">IF(COUNT(V37:X37)=0,"",MAX(0,1-SUM(V37:X37)))</f>
        <v/>
      </c>
      <c r="Z37" s="13"/>
      <c r="AA37" s="9"/>
      <c r="AB37" s="7"/>
      <c r="AC37" s="7"/>
      <c r="AD37" s="7"/>
      <c r="AE37" s="7"/>
      <c r="AF37" s="14" t="str">
        <f aca="false">IF(D37="","",COUNTIF($D$2:D37,D37))</f>
        <v/>
      </c>
      <c r="AG37" s="15" t="str">
        <f aca="false" t="array" ref="AG37:AG37">IF(D37="","",IFERROR(MEDIAN(IF(($D$2:$D$401=D37)*($AF$2:$AF$401&gt;=AF37-5)*($AF$2:$AF$401&lt;=AF37-1)*($M$2:$M$401&lt;&gt;""),$M$2:$M$401)),""))</f>
        <v/>
      </c>
      <c r="AH37" s="16" t="str">
        <f aca="false">IF(AND(ISNUMBER(M37),ISNUMBER(AG37)),IF(AG37&gt;0,M37/AG37,""),"")</f>
        <v/>
      </c>
      <c r="AI37" s="15" t="str">
        <f aca="false" t="array" ref="AI37:AI37">IF(D37="","",IFERROR(MEDIAN(IF(($D$2:$D$401=D37)*($AF$2:$AF$401&gt;=AF37-5)*($AF$2:$AF$401&lt;=AF37-1)*($N$2:$N$401&lt;&gt;""),$N$2:$N$401)),""))</f>
        <v/>
      </c>
      <c r="AJ37" s="16" t="str">
        <f aca="false">IF(AND(ISNUMBER(N37),ISNUMBER(AI37)),IF(AI37&gt;0,N37/AI37,""),"")</f>
        <v/>
      </c>
      <c r="AK37" s="12" t="str">
        <f aca="false" t="array" ref="AK37:AK37">IF(D37="","",IFERROR(MEDIAN(IF(($D$2:$D$401=D37)*ISNUMBER($R$2:$R$401),$R$2:$R$401)),""))</f>
        <v/>
      </c>
      <c r="AL37" s="17" t="str">
        <f aca="false">IF(ISNUMBER(AJ37),IF(AND(AJ37&gt;=Resumen!$C$5,OR(NOT(ISNUMBER(R37)),NOT(ISNUMBER(AK37)),R37&gt;=AK37)),"Ganador",IF(AJ37&lt;=Resumen!$C$6,"Perdedor","Normal")),IF(ISNUMBER(AH37),IF(AH37&gt;=Resumen!$C$5,"Ganador (7 d, provisional)",IF(AH37&lt;=Resumen!$C$6,"Perdedor (7 d, provisional)","Normal (7 d, provisional)")),""))</f>
        <v/>
      </c>
      <c r="AM37" s="18" t="str">
        <f aca="false">IF(AND(ISNUMBER(Z37),ISNUMBER(N37)),IF(N37&gt;0,Z37/N37*1000,""),"")</f>
        <v/>
      </c>
      <c r="AN37" s="19" t="str">
        <f aca="false">IF(AND(ISNUMBER(U37),ISNUMBER(N37)),IF(N37&gt;0,U37/N37*1000,""),"")</f>
        <v/>
      </c>
    </row>
    <row r="38" customFormat="false" ht="15" hidden="false" customHeight="false" outlineLevel="0" collapsed="false">
      <c r="A38" s="7"/>
      <c r="B38" s="7"/>
      <c r="C38" s="8"/>
      <c r="D38" s="7"/>
      <c r="E38" s="7"/>
      <c r="F38" s="7"/>
      <c r="G38" s="7"/>
      <c r="H38" s="7"/>
      <c r="I38" s="7"/>
      <c r="J38" s="7"/>
      <c r="K38" s="9"/>
      <c r="L38" s="10"/>
      <c r="M38" s="10"/>
      <c r="N38" s="10"/>
      <c r="O38" s="10"/>
      <c r="P38" s="11"/>
      <c r="Q38" s="9"/>
      <c r="R38" s="12" t="str">
        <f aca="false">IF(AND(ISNUMBER(K38),ISNUMBER(Q38),K38&gt;0),Q38/K38,"")</f>
        <v/>
      </c>
      <c r="S38" s="11"/>
      <c r="T38" s="9"/>
      <c r="U38" s="10"/>
      <c r="V38" s="11"/>
      <c r="W38" s="11"/>
      <c r="X38" s="11"/>
      <c r="Y38" s="12" t="str">
        <f aca="false">IF(COUNT(V38:X38)=0,"",MAX(0,1-SUM(V38:X38)))</f>
        <v/>
      </c>
      <c r="Z38" s="13"/>
      <c r="AA38" s="9"/>
      <c r="AB38" s="7"/>
      <c r="AC38" s="7"/>
      <c r="AD38" s="7"/>
      <c r="AE38" s="7"/>
      <c r="AF38" s="14" t="str">
        <f aca="false">IF(D38="","",COUNTIF($D$2:D38,D38))</f>
        <v/>
      </c>
      <c r="AG38" s="15" t="str">
        <f aca="false" t="array" ref="AG38:AG38">IF(D38="","",IFERROR(MEDIAN(IF(($D$2:$D$401=D38)*($AF$2:$AF$401&gt;=AF38-5)*($AF$2:$AF$401&lt;=AF38-1)*($M$2:$M$401&lt;&gt;""),$M$2:$M$401)),""))</f>
        <v/>
      </c>
      <c r="AH38" s="16" t="str">
        <f aca="false">IF(AND(ISNUMBER(M38),ISNUMBER(AG38)),IF(AG38&gt;0,M38/AG38,""),"")</f>
        <v/>
      </c>
      <c r="AI38" s="15" t="str">
        <f aca="false" t="array" ref="AI38:AI38">IF(D38="","",IFERROR(MEDIAN(IF(($D$2:$D$401=D38)*($AF$2:$AF$401&gt;=AF38-5)*($AF$2:$AF$401&lt;=AF38-1)*($N$2:$N$401&lt;&gt;""),$N$2:$N$401)),""))</f>
        <v/>
      </c>
      <c r="AJ38" s="16" t="str">
        <f aca="false">IF(AND(ISNUMBER(N38),ISNUMBER(AI38)),IF(AI38&gt;0,N38/AI38,""),"")</f>
        <v/>
      </c>
      <c r="AK38" s="12" t="str">
        <f aca="false" t="array" ref="AK38:AK38">IF(D38="","",IFERROR(MEDIAN(IF(($D$2:$D$401=D38)*ISNUMBER($R$2:$R$401),$R$2:$R$401)),""))</f>
        <v/>
      </c>
      <c r="AL38" s="17" t="str">
        <f aca="false">IF(ISNUMBER(AJ38),IF(AND(AJ38&gt;=Resumen!$C$5,OR(NOT(ISNUMBER(R38)),NOT(ISNUMBER(AK38)),R38&gt;=AK38)),"Ganador",IF(AJ38&lt;=Resumen!$C$6,"Perdedor","Normal")),IF(ISNUMBER(AH38),IF(AH38&gt;=Resumen!$C$5,"Ganador (7 d, provisional)",IF(AH38&lt;=Resumen!$C$6,"Perdedor (7 d, provisional)","Normal (7 d, provisional)")),""))</f>
        <v/>
      </c>
      <c r="AM38" s="18" t="str">
        <f aca="false">IF(AND(ISNUMBER(Z38),ISNUMBER(N38)),IF(N38&gt;0,Z38/N38*1000,""),"")</f>
        <v/>
      </c>
      <c r="AN38" s="19" t="str">
        <f aca="false">IF(AND(ISNUMBER(U38),ISNUMBER(N38)),IF(N38&gt;0,U38/N38*1000,""),"")</f>
        <v/>
      </c>
    </row>
    <row r="39" customFormat="false" ht="15" hidden="false" customHeight="false" outlineLevel="0" collapsed="false">
      <c r="A39" s="7"/>
      <c r="B39" s="7"/>
      <c r="C39" s="8"/>
      <c r="D39" s="7"/>
      <c r="E39" s="7"/>
      <c r="F39" s="7"/>
      <c r="G39" s="7"/>
      <c r="H39" s="7"/>
      <c r="I39" s="7"/>
      <c r="J39" s="7"/>
      <c r="K39" s="9"/>
      <c r="L39" s="10"/>
      <c r="M39" s="10"/>
      <c r="N39" s="10"/>
      <c r="O39" s="10"/>
      <c r="P39" s="11"/>
      <c r="Q39" s="9"/>
      <c r="R39" s="12" t="str">
        <f aca="false">IF(AND(ISNUMBER(K39),ISNUMBER(Q39),K39&gt;0),Q39/K39,"")</f>
        <v/>
      </c>
      <c r="S39" s="11"/>
      <c r="T39" s="9"/>
      <c r="U39" s="10"/>
      <c r="V39" s="11"/>
      <c r="W39" s="11"/>
      <c r="X39" s="11"/>
      <c r="Y39" s="12" t="str">
        <f aca="false">IF(COUNT(V39:X39)=0,"",MAX(0,1-SUM(V39:X39)))</f>
        <v/>
      </c>
      <c r="Z39" s="13"/>
      <c r="AA39" s="9"/>
      <c r="AB39" s="7"/>
      <c r="AC39" s="7"/>
      <c r="AD39" s="7"/>
      <c r="AE39" s="7"/>
      <c r="AF39" s="14" t="str">
        <f aca="false">IF(D39="","",COUNTIF($D$2:D39,D39))</f>
        <v/>
      </c>
      <c r="AG39" s="15" t="str">
        <f aca="false" t="array" ref="AG39:AG39">IF(D39="","",IFERROR(MEDIAN(IF(($D$2:$D$401=D39)*($AF$2:$AF$401&gt;=AF39-5)*($AF$2:$AF$401&lt;=AF39-1)*($M$2:$M$401&lt;&gt;""),$M$2:$M$401)),""))</f>
        <v/>
      </c>
      <c r="AH39" s="16" t="str">
        <f aca="false">IF(AND(ISNUMBER(M39),ISNUMBER(AG39)),IF(AG39&gt;0,M39/AG39,""),"")</f>
        <v/>
      </c>
      <c r="AI39" s="15" t="str">
        <f aca="false" t="array" ref="AI39:AI39">IF(D39="","",IFERROR(MEDIAN(IF(($D$2:$D$401=D39)*($AF$2:$AF$401&gt;=AF39-5)*($AF$2:$AF$401&lt;=AF39-1)*($N$2:$N$401&lt;&gt;""),$N$2:$N$401)),""))</f>
        <v/>
      </c>
      <c r="AJ39" s="16" t="str">
        <f aca="false">IF(AND(ISNUMBER(N39),ISNUMBER(AI39)),IF(AI39&gt;0,N39/AI39,""),"")</f>
        <v/>
      </c>
      <c r="AK39" s="12" t="str">
        <f aca="false" t="array" ref="AK39:AK39">IF(D39="","",IFERROR(MEDIAN(IF(($D$2:$D$401=D39)*ISNUMBER($R$2:$R$401),$R$2:$R$401)),""))</f>
        <v/>
      </c>
      <c r="AL39" s="17" t="str">
        <f aca="false">IF(ISNUMBER(AJ39),IF(AND(AJ39&gt;=Resumen!$C$5,OR(NOT(ISNUMBER(R39)),NOT(ISNUMBER(AK39)),R39&gt;=AK39)),"Ganador",IF(AJ39&lt;=Resumen!$C$6,"Perdedor","Normal")),IF(ISNUMBER(AH39),IF(AH39&gt;=Resumen!$C$5,"Ganador (7 d, provisional)",IF(AH39&lt;=Resumen!$C$6,"Perdedor (7 d, provisional)","Normal (7 d, provisional)")),""))</f>
        <v/>
      </c>
      <c r="AM39" s="18" t="str">
        <f aca="false">IF(AND(ISNUMBER(Z39),ISNUMBER(N39)),IF(N39&gt;0,Z39/N39*1000,""),"")</f>
        <v/>
      </c>
      <c r="AN39" s="19" t="str">
        <f aca="false">IF(AND(ISNUMBER(U39),ISNUMBER(N39)),IF(N39&gt;0,U39/N39*1000,""),"")</f>
        <v/>
      </c>
    </row>
    <row r="40" customFormat="false" ht="15" hidden="false" customHeight="false" outlineLevel="0" collapsed="false">
      <c r="A40" s="7"/>
      <c r="B40" s="7"/>
      <c r="C40" s="8"/>
      <c r="D40" s="7"/>
      <c r="E40" s="7"/>
      <c r="F40" s="7"/>
      <c r="G40" s="7"/>
      <c r="H40" s="7"/>
      <c r="I40" s="7"/>
      <c r="J40" s="7"/>
      <c r="K40" s="9"/>
      <c r="L40" s="10"/>
      <c r="M40" s="10"/>
      <c r="N40" s="10"/>
      <c r="O40" s="10"/>
      <c r="P40" s="11"/>
      <c r="Q40" s="9"/>
      <c r="R40" s="12" t="str">
        <f aca="false">IF(AND(ISNUMBER(K40),ISNUMBER(Q40),K40&gt;0),Q40/K40,"")</f>
        <v/>
      </c>
      <c r="S40" s="11"/>
      <c r="T40" s="9"/>
      <c r="U40" s="10"/>
      <c r="V40" s="11"/>
      <c r="W40" s="11"/>
      <c r="X40" s="11"/>
      <c r="Y40" s="12" t="str">
        <f aca="false">IF(COUNT(V40:X40)=0,"",MAX(0,1-SUM(V40:X40)))</f>
        <v/>
      </c>
      <c r="Z40" s="13"/>
      <c r="AA40" s="9"/>
      <c r="AB40" s="7"/>
      <c r="AC40" s="7"/>
      <c r="AD40" s="7"/>
      <c r="AE40" s="7"/>
      <c r="AF40" s="14" t="str">
        <f aca="false">IF(D40="","",COUNTIF($D$2:D40,D40))</f>
        <v/>
      </c>
      <c r="AG40" s="15" t="str">
        <f aca="false" t="array" ref="AG40:AG40">IF(D40="","",IFERROR(MEDIAN(IF(($D$2:$D$401=D40)*($AF$2:$AF$401&gt;=AF40-5)*($AF$2:$AF$401&lt;=AF40-1)*($M$2:$M$401&lt;&gt;""),$M$2:$M$401)),""))</f>
        <v/>
      </c>
      <c r="AH40" s="16" t="str">
        <f aca="false">IF(AND(ISNUMBER(M40),ISNUMBER(AG40)),IF(AG40&gt;0,M40/AG40,""),"")</f>
        <v/>
      </c>
      <c r="AI40" s="15" t="str">
        <f aca="false" t="array" ref="AI40:AI40">IF(D40="","",IFERROR(MEDIAN(IF(($D$2:$D$401=D40)*($AF$2:$AF$401&gt;=AF40-5)*($AF$2:$AF$401&lt;=AF40-1)*($N$2:$N$401&lt;&gt;""),$N$2:$N$401)),""))</f>
        <v/>
      </c>
      <c r="AJ40" s="16" t="str">
        <f aca="false">IF(AND(ISNUMBER(N40),ISNUMBER(AI40)),IF(AI40&gt;0,N40/AI40,""),"")</f>
        <v/>
      </c>
      <c r="AK40" s="12" t="str">
        <f aca="false" t="array" ref="AK40:AK40">IF(D40="","",IFERROR(MEDIAN(IF(($D$2:$D$401=D40)*ISNUMBER($R$2:$R$401),$R$2:$R$401)),""))</f>
        <v/>
      </c>
      <c r="AL40" s="17" t="str">
        <f aca="false">IF(ISNUMBER(AJ40),IF(AND(AJ40&gt;=Resumen!$C$5,OR(NOT(ISNUMBER(R40)),NOT(ISNUMBER(AK40)),R40&gt;=AK40)),"Ganador",IF(AJ40&lt;=Resumen!$C$6,"Perdedor","Normal")),IF(ISNUMBER(AH40),IF(AH40&gt;=Resumen!$C$5,"Ganador (7 d, provisional)",IF(AH40&lt;=Resumen!$C$6,"Perdedor (7 d, provisional)","Normal (7 d, provisional)")),""))</f>
        <v/>
      </c>
      <c r="AM40" s="18" t="str">
        <f aca="false">IF(AND(ISNUMBER(Z40),ISNUMBER(N40)),IF(N40&gt;0,Z40/N40*1000,""),"")</f>
        <v/>
      </c>
      <c r="AN40" s="19" t="str">
        <f aca="false">IF(AND(ISNUMBER(U40),ISNUMBER(N40)),IF(N40&gt;0,U40/N40*1000,""),"")</f>
        <v/>
      </c>
    </row>
    <row r="41" customFormat="false" ht="15" hidden="false" customHeight="false" outlineLevel="0" collapsed="false">
      <c r="A41" s="7"/>
      <c r="B41" s="7"/>
      <c r="C41" s="8"/>
      <c r="D41" s="7"/>
      <c r="E41" s="7"/>
      <c r="F41" s="7"/>
      <c r="G41" s="7"/>
      <c r="H41" s="7"/>
      <c r="I41" s="7"/>
      <c r="J41" s="7"/>
      <c r="K41" s="9"/>
      <c r="L41" s="10"/>
      <c r="M41" s="10"/>
      <c r="N41" s="10"/>
      <c r="O41" s="10"/>
      <c r="P41" s="11"/>
      <c r="Q41" s="9"/>
      <c r="R41" s="12" t="str">
        <f aca="false">IF(AND(ISNUMBER(K41),ISNUMBER(Q41),K41&gt;0),Q41/K41,"")</f>
        <v/>
      </c>
      <c r="S41" s="11"/>
      <c r="T41" s="9"/>
      <c r="U41" s="10"/>
      <c r="V41" s="11"/>
      <c r="W41" s="11"/>
      <c r="X41" s="11"/>
      <c r="Y41" s="12" t="str">
        <f aca="false">IF(COUNT(V41:X41)=0,"",MAX(0,1-SUM(V41:X41)))</f>
        <v/>
      </c>
      <c r="Z41" s="13"/>
      <c r="AA41" s="9"/>
      <c r="AB41" s="7"/>
      <c r="AC41" s="7"/>
      <c r="AD41" s="7"/>
      <c r="AE41" s="7"/>
      <c r="AF41" s="14" t="str">
        <f aca="false">IF(D41="","",COUNTIF($D$2:D41,D41))</f>
        <v/>
      </c>
      <c r="AG41" s="15" t="str">
        <f aca="false" t="array" ref="AG41:AG41">IF(D41="","",IFERROR(MEDIAN(IF(($D$2:$D$401=D41)*($AF$2:$AF$401&gt;=AF41-5)*($AF$2:$AF$401&lt;=AF41-1)*($M$2:$M$401&lt;&gt;""),$M$2:$M$401)),""))</f>
        <v/>
      </c>
      <c r="AH41" s="16" t="str">
        <f aca="false">IF(AND(ISNUMBER(M41),ISNUMBER(AG41)),IF(AG41&gt;0,M41/AG41,""),"")</f>
        <v/>
      </c>
      <c r="AI41" s="15" t="str">
        <f aca="false" t="array" ref="AI41:AI41">IF(D41="","",IFERROR(MEDIAN(IF(($D$2:$D$401=D41)*($AF$2:$AF$401&gt;=AF41-5)*($AF$2:$AF$401&lt;=AF41-1)*($N$2:$N$401&lt;&gt;""),$N$2:$N$401)),""))</f>
        <v/>
      </c>
      <c r="AJ41" s="16" t="str">
        <f aca="false">IF(AND(ISNUMBER(N41),ISNUMBER(AI41)),IF(AI41&gt;0,N41/AI41,""),"")</f>
        <v/>
      </c>
      <c r="AK41" s="12" t="str">
        <f aca="false" t="array" ref="AK41:AK41">IF(D41="","",IFERROR(MEDIAN(IF(($D$2:$D$401=D41)*ISNUMBER($R$2:$R$401),$R$2:$R$401)),""))</f>
        <v/>
      </c>
      <c r="AL41" s="17" t="str">
        <f aca="false">IF(ISNUMBER(AJ41),IF(AND(AJ41&gt;=Resumen!$C$5,OR(NOT(ISNUMBER(R41)),NOT(ISNUMBER(AK41)),R41&gt;=AK41)),"Ganador",IF(AJ41&lt;=Resumen!$C$6,"Perdedor","Normal")),IF(ISNUMBER(AH41),IF(AH41&gt;=Resumen!$C$5,"Ganador (7 d, provisional)",IF(AH41&lt;=Resumen!$C$6,"Perdedor (7 d, provisional)","Normal (7 d, provisional)")),""))</f>
        <v/>
      </c>
      <c r="AM41" s="18" t="str">
        <f aca="false">IF(AND(ISNUMBER(Z41),ISNUMBER(N41)),IF(N41&gt;0,Z41/N41*1000,""),"")</f>
        <v/>
      </c>
      <c r="AN41" s="19" t="str">
        <f aca="false">IF(AND(ISNUMBER(U41),ISNUMBER(N41)),IF(N41&gt;0,U41/N41*1000,""),"")</f>
        <v/>
      </c>
    </row>
    <row r="42" customFormat="false" ht="15" hidden="false" customHeight="false" outlineLevel="0" collapsed="false">
      <c r="A42" s="7"/>
      <c r="B42" s="7"/>
      <c r="C42" s="8"/>
      <c r="D42" s="7"/>
      <c r="E42" s="7"/>
      <c r="F42" s="7"/>
      <c r="G42" s="7"/>
      <c r="H42" s="7"/>
      <c r="I42" s="7"/>
      <c r="J42" s="7"/>
      <c r="K42" s="9"/>
      <c r="L42" s="10"/>
      <c r="M42" s="10"/>
      <c r="N42" s="10"/>
      <c r="O42" s="10"/>
      <c r="P42" s="11"/>
      <c r="Q42" s="9"/>
      <c r="R42" s="12" t="str">
        <f aca="false">IF(AND(ISNUMBER(K42),ISNUMBER(Q42),K42&gt;0),Q42/K42,"")</f>
        <v/>
      </c>
      <c r="S42" s="11"/>
      <c r="T42" s="9"/>
      <c r="U42" s="10"/>
      <c r="V42" s="11"/>
      <c r="W42" s="11"/>
      <c r="X42" s="11"/>
      <c r="Y42" s="12" t="str">
        <f aca="false">IF(COUNT(V42:X42)=0,"",MAX(0,1-SUM(V42:X42)))</f>
        <v/>
      </c>
      <c r="Z42" s="13"/>
      <c r="AA42" s="9"/>
      <c r="AB42" s="7"/>
      <c r="AC42" s="7"/>
      <c r="AD42" s="7"/>
      <c r="AE42" s="7"/>
      <c r="AF42" s="14" t="str">
        <f aca="false">IF(D42="","",COUNTIF($D$2:D42,D42))</f>
        <v/>
      </c>
      <c r="AG42" s="15" t="str">
        <f aca="false" t="array" ref="AG42:AG42">IF(D42="","",IFERROR(MEDIAN(IF(($D$2:$D$401=D42)*($AF$2:$AF$401&gt;=AF42-5)*($AF$2:$AF$401&lt;=AF42-1)*($M$2:$M$401&lt;&gt;""),$M$2:$M$401)),""))</f>
        <v/>
      </c>
      <c r="AH42" s="16" t="str">
        <f aca="false">IF(AND(ISNUMBER(M42),ISNUMBER(AG42)),IF(AG42&gt;0,M42/AG42,""),"")</f>
        <v/>
      </c>
      <c r="AI42" s="15" t="str">
        <f aca="false" t="array" ref="AI42:AI42">IF(D42="","",IFERROR(MEDIAN(IF(($D$2:$D$401=D42)*($AF$2:$AF$401&gt;=AF42-5)*($AF$2:$AF$401&lt;=AF42-1)*($N$2:$N$401&lt;&gt;""),$N$2:$N$401)),""))</f>
        <v/>
      </c>
      <c r="AJ42" s="16" t="str">
        <f aca="false">IF(AND(ISNUMBER(N42),ISNUMBER(AI42)),IF(AI42&gt;0,N42/AI42,""),"")</f>
        <v/>
      </c>
      <c r="AK42" s="12" t="str">
        <f aca="false" t="array" ref="AK42:AK42">IF(D42="","",IFERROR(MEDIAN(IF(($D$2:$D$401=D42)*ISNUMBER($R$2:$R$401),$R$2:$R$401)),""))</f>
        <v/>
      </c>
      <c r="AL42" s="17" t="str">
        <f aca="false">IF(ISNUMBER(AJ42),IF(AND(AJ42&gt;=Resumen!$C$5,OR(NOT(ISNUMBER(R42)),NOT(ISNUMBER(AK42)),R42&gt;=AK42)),"Ganador",IF(AJ42&lt;=Resumen!$C$6,"Perdedor","Normal")),IF(ISNUMBER(AH42),IF(AH42&gt;=Resumen!$C$5,"Ganador (7 d, provisional)",IF(AH42&lt;=Resumen!$C$6,"Perdedor (7 d, provisional)","Normal (7 d, provisional)")),""))</f>
        <v/>
      </c>
      <c r="AM42" s="18" t="str">
        <f aca="false">IF(AND(ISNUMBER(Z42),ISNUMBER(N42)),IF(N42&gt;0,Z42/N42*1000,""),"")</f>
        <v/>
      </c>
      <c r="AN42" s="19" t="str">
        <f aca="false">IF(AND(ISNUMBER(U42),ISNUMBER(N42)),IF(N42&gt;0,U42/N42*1000,""),"")</f>
        <v/>
      </c>
    </row>
    <row r="43" customFormat="false" ht="15" hidden="false" customHeight="false" outlineLevel="0" collapsed="false">
      <c r="A43" s="7"/>
      <c r="B43" s="7"/>
      <c r="C43" s="8"/>
      <c r="D43" s="7"/>
      <c r="E43" s="7"/>
      <c r="F43" s="7"/>
      <c r="G43" s="7"/>
      <c r="H43" s="7"/>
      <c r="I43" s="7"/>
      <c r="J43" s="7"/>
      <c r="K43" s="9"/>
      <c r="L43" s="10"/>
      <c r="M43" s="10"/>
      <c r="N43" s="10"/>
      <c r="O43" s="10"/>
      <c r="P43" s="11"/>
      <c r="Q43" s="9"/>
      <c r="R43" s="12" t="str">
        <f aca="false">IF(AND(ISNUMBER(K43),ISNUMBER(Q43),K43&gt;0),Q43/K43,"")</f>
        <v/>
      </c>
      <c r="S43" s="11"/>
      <c r="T43" s="9"/>
      <c r="U43" s="10"/>
      <c r="V43" s="11"/>
      <c r="W43" s="11"/>
      <c r="X43" s="11"/>
      <c r="Y43" s="12" t="str">
        <f aca="false">IF(COUNT(V43:X43)=0,"",MAX(0,1-SUM(V43:X43)))</f>
        <v/>
      </c>
      <c r="Z43" s="13"/>
      <c r="AA43" s="9"/>
      <c r="AB43" s="7"/>
      <c r="AC43" s="7"/>
      <c r="AD43" s="7"/>
      <c r="AE43" s="7"/>
      <c r="AF43" s="14" t="str">
        <f aca="false">IF(D43="","",COUNTIF($D$2:D43,D43))</f>
        <v/>
      </c>
      <c r="AG43" s="15" t="str">
        <f aca="false" t="array" ref="AG43:AG43">IF(D43="","",IFERROR(MEDIAN(IF(($D$2:$D$401=D43)*($AF$2:$AF$401&gt;=AF43-5)*($AF$2:$AF$401&lt;=AF43-1)*($M$2:$M$401&lt;&gt;""),$M$2:$M$401)),""))</f>
        <v/>
      </c>
      <c r="AH43" s="16" t="str">
        <f aca="false">IF(AND(ISNUMBER(M43),ISNUMBER(AG43)),IF(AG43&gt;0,M43/AG43,""),"")</f>
        <v/>
      </c>
      <c r="AI43" s="15" t="str">
        <f aca="false" t="array" ref="AI43:AI43">IF(D43="","",IFERROR(MEDIAN(IF(($D$2:$D$401=D43)*($AF$2:$AF$401&gt;=AF43-5)*($AF$2:$AF$401&lt;=AF43-1)*($N$2:$N$401&lt;&gt;""),$N$2:$N$401)),""))</f>
        <v/>
      </c>
      <c r="AJ43" s="16" t="str">
        <f aca="false">IF(AND(ISNUMBER(N43),ISNUMBER(AI43)),IF(AI43&gt;0,N43/AI43,""),"")</f>
        <v/>
      </c>
      <c r="AK43" s="12" t="str">
        <f aca="false" t="array" ref="AK43:AK43">IF(D43="","",IFERROR(MEDIAN(IF(($D$2:$D$401=D43)*ISNUMBER($R$2:$R$401),$R$2:$R$401)),""))</f>
        <v/>
      </c>
      <c r="AL43" s="17" t="str">
        <f aca="false">IF(ISNUMBER(AJ43),IF(AND(AJ43&gt;=Resumen!$C$5,OR(NOT(ISNUMBER(R43)),NOT(ISNUMBER(AK43)),R43&gt;=AK43)),"Ganador",IF(AJ43&lt;=Resumen!$C$6,"Perdedor","Normal")),IF(ISNUMBER(AH43),IF(AH43&gt;=Resumen!$C$5,"Ganador (7 d, provisional)",IF(AH43&lt;=Resumen!$C$6,"Perdedor (7 d, provisional)","Normal (7 d, provisional)")),""))</f>
        <v/>
      </c>
      <c r="AM43" s="18" t="str">
        <f aca="false">IF(AND(ISNUMBER(Z43),ISNUMBER(N43)),IF(N43&gt;0,Z43/N43*1000,""),"")</f>
        <v/>
      </c>
      <c r="AN43" s="19" t="str">
        <f aca="false">IF(AND(ISNUMBER(U43),ISNUMBER(N43)),IF(N43&gt;0,U43/N43*1000,""),"")</f>
        <v/>
      </c>
    </row>
    <row r="44" customFormat="false" ht="15" hidden="false" customHeight="false" outlineLevel="0" collapsed="false">
      <c r="A44" s="7"/>
      <c r="B44" s="7"/>
      <c r="C44" s="8"/>
      <c r="D44" s="7"/>
      <c r="E44" s="7"/>
      <c r="F44" s="7"/>
      <c r="G44" s="7"/>
      <c r="H44" s="7"/>
      <c r="I44" s="7"/>
      <c r="J44" s="7"/>
      <c r="K44" s="9"/>
      <c r="L44" s="10"/>
      <c r="M44" s="10"/>
      <c r="N44" s="10"/>
      <c r="O44" s="10"/>
      <c r="P44" s="11"/>
      <c r="Q44" s="9"/>
      <c r="R44" s="12" t="str">
        <f aca="false">IF(AND(ISNUMBER(K44),ISNUMBER(Q44),K44&gt;0),Q44/K44,"")</f>
        <v/>
      </c>
      <c r="S44" s="11"/>
      <c r="T44" s="9"/>
      <c r="U44" s="10"/>
      <c r="V44" s="11"/>
      <c r="W44" s="11"/>
      <c r="X44" s="11"/>
      <c r="Y44" s="12" t="str">
        <f aca="false">IF(COUNT(V44:X44)=0,"",MAX(0,1-SUM(V44:X44)))</f>
        <v/>
      </c>
      <c r="Z44" s="13"/>
      <c r="AA44" s="9"/>
      <c r="AB44" s="7"/>
      <c r="AC44" s="7"/>
      <c r="AD44" s="7"/>
      <c r="AE44" s="7"/>
      <c r="AF44" s="14" t="str">
        <f aca="false">IF(D44="","",COUNTIF($D$2:D44,D44))</f>
        <v/>
      </c>
      <c r="AG44" s="15" t="str">
        <f aca="false" t="array" ref="AG44:AG44">IF(D44="","",IFERROR(MEDIAN(IF(($D$2:$D$401=D44)*($AF$2:$AF$401&gt;=AF44-5)*($AF$2:$AF$401&lt;=AF44-1)*($M$2:$M$401&lt;&gt;""),$M$2:$M$401)),""))</f>
        <v/>
      </c>
      <c r="AH44" s="16" t="str">
        <f aca="false">IF(AND(ISNUMBER(M44),ISNUMBER(AG44)),IF(AG44&gt;0,M44/AG44,""),"")</f>
        <v/>
      </c>
      <c r="AI44" s="15" t="str">
        <f aca="false" t="array" ref="AI44:AI44">IF(D44="","",IFERROR(MEDIAN(IF(($D$2:$D$401=D44)*($AF$2:$AF$401&gt;=AF44-5)*($AF$2:$AF$401&lt;=AF44-1)*($N$2:$N$401&lt;&gt;""),$N$2:$N$401)),""))</f>
        <v/>
      </c>
      <c r="AJ44" s="16" t="str">
        <f aca="false">IF(AND(ISNUMBER(N44),ISNUMBER(AI44)),IF(AI44&gt;0,N44/AI44,""),"")</f>
        <v/>
      </c>
      <c r="AK44" s="12" t="str">
        <f aca="false" t="array" ref="AK44:AK44">IF(D44="","",IFERROR(MEDIAN(IF(($D$2:$D$401=D44)*ISNUMBER($R$2:$R$401),$R$2:$R$401)),""))</f>
        <v/>
      </c>
      <c r="AL44" s="17" t="str">
        <f aca="false">IF(ISNUMBER(AJ44),IF(AND(AJ44&gt;=Resumen!$C$5,OR(NOT(ISNUMBER(R44)),NOT(ISNUMBER(AK44)),R44&gt;=AK44)),"Ganador",IF(AJ44&lt;=Resumen!$C$6,"Perdedor","Normal")),IF(ISNUMBER(AH44),IF(AH44&gt;=Resumen!$C$5,"Ganador (7 d, provisional)",IF(AH44&lt;=Resumen!$C$6,"Perdedor (7 d, provisional)","Normal (7 d, provisional)")),""))</f>
        <v/>
      </c>
      <c r="AM44" s="18" t="str">
        <f aca="false">IF(AND(ISNUMBER(Z44),ISNUMBER(N44)),IF(N44&gt;0,Z44/N44*1000,""),"")</f>
        <v/>
      </c>
      <c r="AN44" s="19" t="str">
        <f aca="false">IF(AND(ISNUMBER(U44),ISNUMBER(N44)),IF(N44&gt;0,U44/N44*1000,""),"")</f>
        <v/>
      </c>
    </row>
    <row r="45" customFormat="false" ht="15" hidden="false" customHeight="false" outlineLevel="0" collapsed="false">
      <c r="A45" s="7"/>
      <c r="B45" s="7"/>
      <c r="C45" s="8"/>
      <c r="D45" s="7"/>
      <c r="E45" s="7"/>
      <c r="F45" s="7"/>
      <c r="G45" s="7"/>
      <c r="H45" s="7"/>
      <c r="I45" s="7"/>
      <c r="J45" s="7"/>
      <c r="K45" s="9"/>
      <c r="L45" s="10"/>
      <c r="M45" s="10"/>
      <c r="N45" s="10"/>
      <c r="O45" s="10"/>
      <c r="P45" s="11"/>
      <c r="Q45" s="9"/>
      <c r="R45" s="12" t="str">
        <f aca="false">IF(AND(ISNUMBER(K45),ISNUMBER(Q45),K45&gt;0),Q45/K45,"")</f>
        <v/>
      </c>
      <c r="S45" s="11"/>
      <c r="T45" s="9"/>
      <c r="U45" s="10"/>
      <c r="V45" s="11"/>
      <c r="W45" s="11"/>
      <c r="X45" s="11"/>
      <c r="Y45" s="12" t="str">
        <f aca="false">IF(COUNT(V45:X45)=0,"",MAX(0,1-SUM(V45:X45)))</f>
        <v/>
      </c>
      <c r="Z45" s="13"/>
      <c r="AA45" s="9"/>
      <c r="AB45" s="7"/>
      <c r="AC45" s="7"/>
      <c r="AD45" s="7"/>
      <c r="AE45" s="7"/>
      <c r="AF45" s="14" t="str">
        <f aca="false">IF(D45="","",COUNTIF($D$2:D45,D45))</f>
        <v/>
      </c>
      <c r="AG45" s="15" t="str">
        <f aca="false" t="array" ref="AG45:AG45">IF(D45="","",IFERROR(MEDIAN(IF(($D$2:$D$401=D45)*($AF$2:$AF$401&gt;=AF45-5)*($AF$2:$AF$401&lt;=AF45-1)*($M$2:$M$401&lt;&gt;""),$M$2:$M$401)),""))</f>
        <v/>
      </c>
      <c r="AH45" s="16" t="str">
        <f aca="false">IF(AND(ISNUMBER(M45),ISNUMBER(AG45)),IF(AG45&gt;0,M45/AG45,""),"")</f>
        <v/>
      </c>
      <c r="AI45" s="15" t="str">
        <f aca="false" t="array" ref="AI45:AI45">IF(D45="","",IFERROR(MEDIAN(IF(($D$2:$D$401=D45)*($AF$2:$AF$401&gt;=AF45-5)*($AF$2:$AF$401&lt;=AF45-1)*($N$2:$N$401&lt;&gt;""),$N$2:$N$401)),""))</f>
        <v/>
      </c>
      <c r="AJ45" s="16" t="str">
        <f aca="false">IF(AND(ISNUMBER(N45),ISNUMBER(AI45)),IF(AI45&gt;0,N45/AI45,""),"")</f>
        <v/>
      </c>
      <c r="AK45" s="12" t="str">
        <f aca="false" t="array" ref="AK45:AK45">IF(D45="","",IFERROR(MEDIAN(IF(($D$2:$D$401=D45)*ISNUMBER($R$2:$R$401),$R$2:$R$401)),""))</f>
        <v/>
      </c>
      <c r="AL45" s="17" t="str">
        <f aca="false">IF(ISNUMBER(AJ45),IF(AND(AJ45&gt;=Resumen!$C$5,OR(NOT(ISNUMBER(R45)),NOT(ISNUMBER(AK45)),R45&gt;=AK45)),"Ganador",IF(AJ45&lt;=Resumen!$C$6,"Perdedor","Normal")),IF(ISNUMBER(AH45),IF(AH45&gt;=Resumen!$C$5,"Ganador (7 d, provisional)",IF(AH45&lt;=Resumen!$C$6,"Perdedor (7 d, provisional)","Normal (7 d, provisional)")),""))</f>
        <v/>
      </c>
      <c r="AM45" s="18" t="str">
        <f aca="false">IF(AND(ISNUMBER(Z45),ISNUMBER(N45)),IF(N45&gt;0,Z45/N45*1000,""),"")</f>
        <v/>
      </c>
      <c r="AN45" s="19" t="str">
        <f aca="false">IF(AND(ISNUMBER(U45),ISNUMBER(N45)),IF(N45&gt;0,U45/N45*1000,""),"")</f>
        <v/>
      </c>
    </row>
    <row r="46" customFormat="false" ht="15" hidden="false" customHeight="false" outlineLevel="0" collapsed="false">
      <c r="A46" s="7"/>
      <c r="B46" s="7"/>
      <c r="C46" s="8"/>
      <c r="D46" s="7"/>
      <c r="E46" s="7"/>
      <c r="F46" s="7"/>
      <c r="G46" s="7"/>
      <c r="H46" s="7"/>
      <c r="I46" s="7"/>
      <c r="J46" s="7"/>
      <c r="K46" s="9"/>
      <c r="L46" s="10"/>
      <c r="M46" s="10"/>
      <c r="N46" s="10"/>
      <c r="O46" s="10"/>
      <c r="P46" s="11"/>
      <c r="Q46" s="9"/>
      <c r="R46" s="12" t="str">
        <f aca="false">IF(AND(ISNUMBER(K46),ISNUMBER(Q46),K46&gt;0),Q46/K46,"")</f>
        <v/>
      </c>
      <c r="S46" s="11"/>
      <c r="T46" s="9"/>
      <c r="U46" s="10"/>
      <c r="V46" s="11"/>
      <c r="W46" s="11"/>
      <c r="X46" s="11"/>
      <c r="Y46" s="12" t="str">
        <f aca="false">IF(COUNT(V46:X46)=0,"",MAX(0,1-SUM(V46:X46)))</f>
        <v/>
      </c>
      <c r="Z46" s="13"/>
      <c r="AA46" s="9"/>
      <c r="AB46" s="7"/>
      <c r="AC46" s="7"/>
      <c r="AD46" s="7"/>
      <c r="AE46" s="7"/>
      <c r="AF46" s="14" t="str">
        <f aca="false">IF(D46="","",COUNTIF($D$2:D46,D46))</f>
        <v/>
      </c>
      <c r="AG46" s="15" t="str">
        <f aca="false" t="array" ref="AG46:AG46">IF(D46="","",IFERROR(MEDIAN(IF(($D$2:$D$401=D46)*($AF$2:$AF$401&gt;=AF46-5)*($AF$2:$AF$401&lt;=AF46-1)*($M$2:$M$401&lt;&gt;""),$M$2:$M$401)),""))</f>
        <v/>
      </c>
      <c r="AH46" s="16" t="str">
        <f aca="false">IF(AND(ISNUMBER(M46),ISNUMBER(AG46)),IF(AG46&gt;0,M46/AG46,""),"")</f>
        <v/>
      </c>
      <c r="AI46" s="15" t="str">
        <f aca="false" t="array" ref="AI46:AI46">IF(D46="","",IFERROR(MEDIAN(IF(($D$2:$D$401=D46)*($AF$2:$AF$401&gt;=AF46-5)*($AF$2:$AF$401&lt;=AF46-1)*($N$2:$N$401&lt;&gt;""),$N$2:$N$401)),""))</f>
        <v/>
      </c>
      <c r="AJ46" s="16" t="str">
        <f aca="false">IF(AND(ISNUMBER(N46),ISNUMBER(AI46)),IF(AI46&gt;0,N46/AI46,""),"")</f>
        <v/>
      </c>
      <c r="AK46" s="12" t="str">
        <f aca="false" t="array" ref="AK46:AK46">IF(D46="","",IFERROR(MEDIAN(IF(($D$2:$D$401=D46)*ISNUMBER($R$2:$R$401),$R$2:$R$401)),""))</f>
        <v/>
      </c>
      <c r="AL46" s="17" t="str">
        <f aca="false">IF(ISNUMBER(AJ46),IF(AND(AJ46&gt;=Resumen!$C$5,OR(NOT(ISNUMBER(R46)),NOT(ISNUMBER(AK46)),R46&gt;=AK46)),"Ganador",IF(AJ46&lt;=Resumen!$C$6,"Perdedor","Normal")),IF(ISNUMBER(AH46),IF(AH46&gt;=Resumen!$C$5,"Ganador (7 d, provisional)",IF(AH46&lt;=Resumen!$C$6,"Perdedor (7 d, provisional)","Normal (7 d, provisional)")),""))</f>
        <v/>
      </c>
      <c r="AM46" s="18" t="str">
        <f aca="false">IF(AND(ISNUMBER(Z46),ISNUMBER(N46)),IF(N46&gt;0,Z46/N46*1000,""),"")</f>
        <v/>
      </c>
      <c r="AN46" s="19" t="str">
        <f aca="false">IF(AND(ISNUMBER(U46),ISNUMBER(N46)),IF(N46&gt;0,U46/N46*1000,""),"")</f>
        <v/>
      </c>
    </row>
    <row r="47" customFormat="false" ht="15" hidden="false" customHeight="false" outlineLevel="0" collapsed="false">
      <c r="A47" s="7"/>
      <c r="B47" s="7"/>
      <c r="C47" s="8"/>
      <c r="D47" s="7"/>
      <c r="E47" s="7"/>
      <c r="F47" s="7"/>
      <c r="G47" s="7"/>
      <c r="H47" s="7"/>
      <c r="I47" s="7"/>
      <c r="J47" s="7"/>
      <c r="K47" s="9"/>
      <c r="L47" s="10"/>
      <c r="M47" s="10"/>
      <c r="N47" s="10"/>
      <c r="O47" s="10"/>
      <c r="P47" s="11"/>
      <c r="Q47" s="9"/>
      <c r="R47" s="12" t="str">
        <f aca="false">IF(AND(ISNUMBER(K47),ISNUMBER(Q47),K47&gt;0),Q47/K47,"")</f>
        <v/>
      </c>
      <c r="S47" s="11"/>
      <c r="T47" s="9"/>
      <c r="U47" s="10"/>
      <c r="V47" s="11"/>
      <c r="W47" s="11"/>
      <c r="X47" s="11"/>
      <c r="Y47" s="12" t="str">
        <f aca="false">IF(COUNT(V47:X47)=0,"",MAX(0,1-SUM(V47:X47)))</f>
        <v/>
      </c>
      <c r="Z47" s="13"/>
      <c r="AA47" s="9"/>
      <c r="AB47" s="7"/>
      <c r="AC47" s="7"/>
      <c r="AD47" s="7"/>
      <c r="AE47" s="7"/>
      <c r="AF47" s="14" t="str">
        <f aca="false">IF(D47="","",COUNTIF($D$2:D47,D47))</f>
        <v/>
      </c>
      <c r="AG47" s="15" t="str">
        <f aca="false" t="array" ref="AG47:AG47">IF(D47="","",IFERROR(MEDIAN(IF(($D$2:$D$401=D47)*($AF$2:$AF$401&gt;=AF47-5)*($AF$2:$AF$401&lt;=AF47-1)*($M$2:$M$401&lt;&gt;""),$M$2:$M$401)),""))</f>
        <v/>
      </c>
      <c r="AH47" s="16" t="str">
        <f aca="false">IF(AND(ISNUMBER(M47),ISNUMBER(AG47)),IF(AG47&gt;0,M47/AG47,""),"")</f>
        <v/>
      </c>
      <c r="AI47" s="15" t="str">
        <f aca="false" t="array" ref="AI47:AI47">IF(D47="","",IFERROR(MEDIAN(IF(($D$2:$D$401=D47)*($AF$2:$AF$401&gt;=AF47-5)*($AF$2:$AF$401&lt;=AF47-1)*($N$2:$N$401&lt;&gt;""),$N$2:$N$401)),""))</f>
        <v/>
      </c>
      <c r="AJ47" s="16" t="str">
        <f aca="false">IF(AND(ISNUMBER(N47),ISNUMBER(AI47)),IF(AI47&gt;0,N47/AI47,""),"")</f>
        <v/>
      </c>
      <c r="AK47" s="12" t="str">
        <f aca="false" t="array" ref="AK47:AK47">IF(D47="","",IFERROR(MEDIAN(IF(($D$2:$D$401=D47)*ISNUMBER($R$2:$R$401),$R$2:$R$401)),""))</f>
        <v/>
      </c>
      <c r="AL47" s="17" t="str">
        <f aca="false">IF(ISNUMBER(AJ47),IF(AND(AJ47&gt;=Resumen!$C$5,OR(NOT(ISNUMBER(R47)),NOT(ISNUMBER(AK47)),R47&gt;=AK47)),"Ganador",IF(AJ47&lt;=Resumen!$C$6,"Perdedor","Normal")),IF(ISNUMBER(AH47),IF(AH47&gt;=Resumen!$C$5,"Ganador (7 d, provisional)",IF(AH47&lt;=Resumen!$C$6,"Perdedor (7 d, provisional)","Normal (7 d, provisional)")),""))</f>
        <v/>
      </c>
      <c r="AM47" s="18" t="str">
        <f aca="false">IF(AND(ISNUMBER(Z47),ISNUMBER(N47)),IF(N47&gt;0,Z47/N47*1000,""),"")</f>
        <v/>
      </c>
      <c r="AN47" s="19" t="str">
        <f aca="false">IF(AND(ISNUMBER(U47),ISNUMBER(N47)),IF(N47&gt;0,U47/N47*1000,""),"")</f>
        <v/>
      </c>
    </row>
    <row r="48" customFormat="false" ht="15" hidden="false" customHeight="false" outlineLevel="0" collapsed="false">
      <c r="A48" s="7"/>
      <c r="B48" s="7"/>
      <c r="C48" s="8"/>
      <c r="D48" s="7"/>
      <c r="E48" s="7"/>
      <c r="F48" s="7"/>
      <c r="G48" s="7"/>
      <c r="H48" s="7"/>
      <c r="I48" s="7"/>
      <c r="J48" s="7"/>
      <c r="K48" s="9"/>
      <c r="L48" s="10"/>
      <c r="M48" s="10"/>
      <c r="N48" s="10"/>
      <c r="O48" s="10"/>
      <c r="P48" s="11"/>
      <c r="Q48" s="9"/>
      <c r="R48" s="12" t="str">
        <f aca="false">IF(AND(ISNUMBER(K48),ISNUMBER(Q48),K48&gt;0),Q48/K48,"")</f>
        <v/>
      </c>
      <c r="S48" s="11"/>
      <c r="T48" s="9"/>
      <c r="U48" s="10"/>
      <c r="V48" s="11"/>
      <c r="W48" s="11"/>
      <c r="X48" s="11"/>
      <c r="Y48" s="12" t="str">
        <f aca="false">IF(COUNT(V48:X48)=0,"",MAX(0,1-SUM(V48:X48)))</f>
        <v/>
      </c>
      <c r="Z48" s="13"/>
      <c r="AA48" s="9"/>
      <c r="AB48" s="7"/>
      <c r="AC48" s="7"/>
      <c r="AD48" s="7"/>
      <c r="AE48" s="7"/>
      <c r="AF48" s="14" t="str">
        <f aca="false">IF(D48="","",COUNTIF($D$2:D48,D48))</f>
        <v/>
      </c>
      <c r="AG48" s="15" t="str">
        <f aca="false" t="array" ref="AG48:AG48">IF(D48="","",IFERROR(MEDIAN(IF(($D$2:$D$401=D48)*($AF$2:$AF$401&gt;=AF48-5)*($AF$2:$AF$401&lt;=AF48-1)*($M$2:$M$401&lt;&gt;""),$M$2:$M$401)),""))</f>
        <v/>
      </c>
      <c r="AH48" s="16" t="str">
        <f aca="false">IF(AND(ISNUMBER(M48),ISNUMBER(AG48)),IF(AG48&gt;0,M48/AG48,""),"")</f>
        <v/>
      </c>
      <c r="AI48" s="15" t="str">
        <f aca="false" t="array" ref="AI48:AI48">IF(D48="","",IFERROR(MEDIAN(IF(($D$2:$D$401=D48)*($AF$2:$AF$401&gt;=AF48-5)*($AF$2:$AF$401&lt;=AF48-1)*($N$2:$N$401&lt;&gt;""),$N$2:$N$401)),""))</f>
        <v/>
      </c>
      <c r="AJ48" s="16" t="str">
        <f aca="false">IF(AND(ISNUMBER(N48),ISNUMBER(AI48)),IF(AI48&gt;0,N48/AI48,""),"")</f>
        <v/>
      </c>
      <c r="AK48" s="12" t="str">
        <f aca="false" t="array" ref="AK48:AK48">IF(D48="","",IFERROR(MEDIAN(IF(($D$2:$D$401=D48)*ISNUMBER($R$2:$R$401),$R$2:$R$401)),""))</f>
        <v/>
      </c>
      <c r="AL48" s="17" t="str">
        <f aca="false">IF(ISNUMBER(AJ48),IF(AND(AJ48&gt;=Resumen!$C$5,OR(NOT(ISNUMBER(R48)),NOT(ISNUMBER(AK48)),R48&gt;=AK48)),"Ganador",IF(AJ48&lt;=Resumen!$C$6,"Perdedor","Normal")),IF(ISNUMBER(AH48),IF(AH48&gt;=Resumen!$C$5,"Ganador (7 d, provisional)",IF(AH48&lt;=Resumen!$C$6,"Perdedor (7 d, provisional)","Normal (7 d, provisional)")),""))</f>
        <v/>
      </c>
      <c r="AM48" s="18" t="str">
        <f aca="false">IF(AND(ISNUMBER(Z48),ISNUMBER(N48)),IF(N48&gt;0,Z48/N48*1000,""),"")</f>
        <v/>
      </c>
      <c r="AN48" s="19" t="str">
        <f aca="false">IF(AND(ISNUMBER(U48),ISNUMBER(N48)),IF(N48&gt;0,U48/N48*1000,""),"")</f>
        <v/>
      </c>
    </row>
    <row r="49" customFormat="false" ht="15" hidden="false" customHeight="false" outlineLevel="0" collapsed="false">
      <c r="A49" s="7"/>
      <c r="B49" s="7"/>
      <c r="C49" s="8"/>
      <c r="D49" s="7"/>
      <c r="E49" s="7"/>
      <c r="F49" s="7"/>
      <c r="G49" s="7"/>
      <c r="H49" s="7"/>
      <c r="I49" s="7"/>
      <c r="J49" s="7"/>
      <c r="K49" s="9"/>
      <c r="L49" s="10"/>
      <c r="M49" s="10"/>
      <c r="N49" s="10"/>
      <c r="O49" s="10"/>
      <c r="P49" s="11"/>
      <c r="Q49" s="9"/>
      <c r="R49" s="12" t="str">
        <f aca="false">IF(AND(ISNUMBER(K49),ISNUMBER(Q49),K49&gt;0),Q49/K49,"")</f>
        <v/>
      </c>
      <c r="S49" s="11"/>
      <c r="T49" s="9"/>
      <c r="U49" s="10"/>
      <c r="V49" s="11"/>
      <c r="W49" s="11"/>
      <c r="X49" s="11"/>
      <c r="Y49" s="12" t="str">
        <f aca="false">IF(COUNT(V49:X49)=0,"",MAX(0,1-SUM(V49:X49)))</f>
        <v/>
      </c>
      <c r="Z49" s="13"/>
      <c r="AA49" s="9"/>
      <c r="AB49" s="7"/>
      <c r="AC49" s="7"/>
      <c r="AD49" s="7"/>
      <c r="AE49" s="7"/>
      <c r="AF49" s="14" t="str">
        <f aca="false">IF(D49="","",COUNTIF($D$2:D49,D49))</f>
        <v/>
      </c>
      <c r="AG49" s="15" t="str">
        <f aca="false" t="array" ref="AG49:AG49">IF(D49="","",IFERROR(MEDIAN(IF(($D$2:$D$401=D49)*($AF$2:$AF$401&gt;=AF49-5)*($AF$2:$AF$401&lt;=AF49-1)*($M$2:$M$401&lt;&gt;""),$M$2:$M$401)),""))</f>
        <v/>
      </c>
      <c r="AH49" s="16" t="str">
        <f aca="false">IF(AND(ISNUMBER(M49),ISNUMBER(AG49)),IF(AG49&gt;0,M49/AG49,""),"")</f>
        <v/>
      </c>
      <c r="AI49" s="15" t="str">
        <f aca="false" t="array" ref="AI49:AI49">IF(D49="","",IFERROR(MEDIAN(IF(($D$2:$D$401=D49)*($AF$2:$AF$401&gt;=AF49-5)*($AF$2:$AF$401&lt;=AF49-1)*($N$2:$N$401&lt;&gt;""),$N$2:$N$401)),""))</f>
        <v/>
      </c>
      <c r="AJ49" s="16" t="str">
        <f aca="false">IF(AND(ISNUMBER(N49),ISNUMBER(AI49)),IF(AI49&gt;0,N49/AI49,""),"")</f>
        <v/>
      </c>
      <c r="AK49" s="12" t="str">
        <f aca="false" t="array" ref="AK49:AK49">IF(D49="","",IFERROR(MEDIAN(IF(($D$2:$D$401=D49)*ISNUMBER($R$2:$R$401),$R$2:$R$401)),""))</f>
        <v/>
      </c>
      <c r="AL49" s="17" t="str">
        <f aca="false">IF(ISNUMBER(AJ49),IF(AND(AJ49&gt;=Resumen!$C$5,OR(NOT(ISNUMBER(R49)),NOT(ISNUMBER(AK49)),R49&gt;=AK49)),"Ganador",IF(AJ49&lt;=Resumen!$C$6,"Perdedor","Normal")),IF(ISNUMBER(AH49),IF(AH49&gt;=Resumen!$C$5,"Ganador (7 d, provisional)",IF(AH49&lt;=Resumen!$C$6,"Perdedor (7 d, provisional)","Normal (7 d, provisional)")),""))</f>
        <v/>
      </c>
      <c r="AM49" s="18" t="str">
        <f aca="false">IF(AND(ISNUMBER(Z49),ISNUMBER(N49)),IF(N49&gt;0,Z49/N49*1000,""),"")</f>
        <v/>
      </c>
      <c r="AN49" s="19" t="str">
        <f aca="false">IF(AND(ISNUMBER(U49),ISNUMBER(N49)),IF(N49&gt;0,U49/N49*1000,""),"")</f>
        <v/>
      </c>
    </row>
    <row r="50" customFormat="false" ht="15" hidden="false" customHeight="false" outlineLevel="0" collapsed="false">
      <c r="A50" s="7"/>
      <c r="B50" s="7"/>
      <c r="C50" s="8"/>
      <c r="D50" s="7"/>
      <c r="E50" s="7"/>
      <c r="F50" s="7"/>
      <c r="G50" s="7"/>
      <c r="H50" s="7"/>
      <c r="I50" s="7"/>
      <c r="J50" s="7"/>
      <c r="K50" s="9"/>
      <c r="L50" s="10"/>
      <c r="M50" s="10"/>
      <c r="N50" s="10"/>
      <c r="O50" s="10"/>
      <c r="P50" s="11"/>
      <c r="Q50" s="9"/>
      <c r="R50" s="12" t="str">
        <f aca="false">IF(AND(ISNUMBER(K50),ISNUMBER(Q50),K50&gt;0),Q50/K50,"")</f>
        <v/>
      </c>
      <c r="S50" s="11"/>
      <c r="T50" s="9"/>
      <c r="U50" s="10"/>
      <c r="V50" s="11"/>
      <c r="W50" s="11"/>
      <c r="X50" s="11"/>
      <c r="Y50" s="12" t="str">
        <f aca="false">IF(COUNT(V50:X50)=0,"",MAX(0,1-SUM(V50:X50)))</f>
        <v/>
      </c>
      <c r="Z50" s="13"/>
      <c r="AA50" s="9"/>
      <c r="AB50" s="7"/>
      <c r="AC50" s="7"/>
      <c r="AD50" s="7"/>
      <c r="AE50" s="7"/>
      <c r="AF50" s="14" t="str">
        <f aca="false">IF(D50="","",COUNTIF($D$2:D50,D50))</f>
        <v/>
      </c>
      <c r="AG50" s="15" t="str">
        <f aca="false" t="array" ref="AG50:AG50">IF(D50="","",IFERROR(MEDIAN(IF(($D$2:$D$401=D50)*($AF$2:$AF$401&gt;=AF50-5)*($AF$2:$AF$401&lt;=AF50-1)*($M$2:$M$401&lt;&gt;""),$M$2:$M$401)),""))</f>
        <v/>
      </c>
      <c r="AH50" s="16" t="str">
        <f aca="false">IF(AND(ISNUMBER(M50),ISNUMBER(AG50)),IF(AG50&gt;0,M50/AG50,""),"")</f>
        <v/>
      </c>
      <c r="AI50" s="15" t="str">
        <f aca="false" t="array" ref="AI50:AI50">IF(D50="","",IFERROR(MEDIAN(IF(($D$2:$D$401=D50)*($AF$2:$AF$401&gt;=AF50-5)*($AF$2:$AF$401&lt;=AF50-1)*($N$2:$N$401&lt;&gt;""),$N$2:$N$401)),""))</f>
        <v/>
      </c>
      <c r="AJ50" s="16" t="str">
        <f aca="false">IF(AND(ISNUMBER(N50),ISNUMBER(AI50)),IF(AI50&gt;0,N50/AI50,""),"")</f>
        <v/>
      </c>
      <c r="AK50" s="12" t="str">
        <f aca="false" t="array" ref="AK50:AK50">IF(D50="","",IFERROR(MEDIAN(IF(($D$2:$D$401=D50)*ISNUMBER($R$2:$R$401),$R$2:$R$401)),""))</f>
        <v/>
      </c>
      <c r="AL50" s="17" t="str">
        <f aca="false">IF(ISNUMBER(AJ50),IF(AND(AJ50&gt;=Resumen!$C$5,OR(NOT(ISNUMBER(R50)),NOT(ISNUMBER(AK50)),R50&gt;=AK50)),"Ganador",IF(AJ50&lt;=Resumen!$C$6,"Perdedor","Normal")),IF(ISNUMBER(AH50),IF(AH50&gt;=Resumen!$C$5,"Ganador (7 d, provisional)",IF(AH50&lt;=Resumen!$C$6,"Perdedor (7 d, provisional)","Normal (7 d, provisional)")),""))</f>
        <v/>
      </c>
      <c r="AM50" s="18" t="str">
        <f aca="false">IF(AND(ISNUMBER(Z50),ISNUMBER(N50)),IF(N50&gt;0,Z50/N50*1000,""),"")</f>
        <v/>
      </c>
      <c r="AN50" s="19" t="str">
        <f aca="false">IF(AND(ISNUMBER(U50),ISNUMBER(N50)),IF(N50&gt;0,U50/N50*1000,""),"")</f>
        <v/>
      </c>
    </row>
    <row r="51" customFormat="false" ht="15" hidden="false" customHeight="false" outlineLevel="0" collapsed="false">
      <c r="A51" s="7"/>
      <c r="B51" s="7"/>
      <c r="C51" s="8"/>
      <c r="D51" s="7"/>
      <c r="E51" s="7"/>
      <c r="F51" s="7"/>
      <c r="G51" s="7"/>
      <c r="H51" s="7"/>
      <c r="I51" s="7"/>
      <c r="J51" s="7"/>
      <c r="K51" s="9"/>
      <c r="L51" s="10"/>
      <c r="M51" s="10"/>
      <c r="N51" s="10"/>
      <c r="O51" s="10"/>
      <c r="P51" s="11"/>
      <c r="Q51" s="9"/>
      <c r="R51" s="12" t="str">
        <f aca="false">IF(AND(ISNUMBER(K51),ISNUMBER(Q51),K51&gt;0),Q51/K51,"")</f>
        <v/>
      </c>
      <c r="S51" s="11"/>
      <c r="T51" s="9"/>
      <c r="U51" s="10"/>
      <c r="V51" s="11"/>
      <c r="W51" s="11"/>
      <c r="X51" s="11"/>
      <c r="Y51" s="12" t="str">
        <f aca="false">IF(COUNT(V51:X51)=0,"",MAX(0,1-SUM(V51:X51)))</f>
        <v/>
      </c>
      <c r="Z51" s="13"/>
      <c r="AA51" s="9"/>
      <c r="AB51" s="7"/>
      <c r="AC51" s="7"/>
      <c r="AD51" s="7"/>
      <c r="AE51" s="7"/>
      <c r="AF51" s="14" t="str">
        <f aca="false">IF(D51="","",COUNTIF($D$2:D51,D51))</f>
        <v/>
      </c>
      <c r="AG51" s="15" t="str">
        <f aca="false" t="array" ref="AG51:AG51">IF(D51="","",IFERROR(MEDIAN(IF(($D$2:$D$401=D51)*($AF$2:$AF$401&gt;=AF51-5)*($AF$2:$AF$401&lt;=AF51-1)*($M$2:$M$401&lt;&gt;""),$M$2:$M$401)),""))</f>
        <v/>
      </c>
      <c r="AH51" s="16" t="str">
        <f aca="false">IF(AND(ISNUMBER(M51),ISNUMBER(AG51)),IF(AG51&gt;0,M51/AG51,""),"")</f>
        <v/>
      </c>
      <c r="AI51" s="15" t="str">
        <f aca="false" t="array" ref="AI51:AI51">IF(D51="","",IFERROR(MEDIAN(IF(($D$2:$D$401=D51)*($AF$2:$AF$401&gt;=AF51-5)*($AF$2:$AF$401&lt;=AF51-1)*($N$2:$N$401&lt;&gt;""),$N$2:$N$401)),""))</f>
        <v/>
      </c>
      <c r="AJ51" s="16" t="str">
        <f aca="false">IF(AND(ISNUMBER(N51),ISNUMBER(AI51)),IF(AI51&gt;0,N51/AI51,""),"")</f>
        <v/>
      </c>
      <c r="AK51" s="12" t="str">
        <f aca="false" t="array" ref="AK51:AK51">IF(D51="","",IFERROR(MEDIAN(IF(($D$2:$D$401=D51)*ISNUMBER($R$2:$R$401),$R$2:$R$401)),""))</f>
        <v/>
      </c>
      <c r="AL51" s="17" t="str">
        <f aca="false">IF(ISNUMBER(AJ51),IF(AND(AJ51&gt;=Resumen!$C$5,OR(NOT(ISNUMBER(R51)),NOT(ISNUMBER(AK51)),R51&gt;=AK51)),"Ganador",IF(AJ51&lt;=Resumen!$C$6,"Perdedor","Normal")),IF(ISNUMBER(AH51),IF(AH51&gt;=Resumen!$C$5,"Ganador (7 d, provisional)",IF(AH51&lt;=Resumen!$C$6,"Perdedor (7 d, provisional)","Normal (7 d, provisional)")),""))</f>
        <v/>
      </c>
      <c r="AM51" s="18" t="str">
        <f aca="false">IF(AND(ISNUMBER(Z51),ISNUMBER(N51)),IF(N51&gt;0,Z51/N51*1000,""),"")</f>
        <v/>
      </c>
      <c r="AN51" s="19" t="str">
        <f aca="false">IF(AND(ISNUMBER(U51),ISNUMBER(N51)),IF(N51&gt;0,U51/N51*1000,""),"")</f>
        <v/>
      </c>
    </row>
    <row r="52" customFormat="false" ht="15" hidden="false" customHeight="false" outlineLevel="0" collapsed="false">
      <c r="A52" s="7"/>
      <c r="B52" s="7"/>
      <c r="C52" s="8"/>
      <c r="D52" s="7"/>
      <c r="E52" s="7"/>
      <c r="F52" s="7"/>
      <c r="G52" s="7"/>
      <c r="H52" s="7"/>
      <c r="I52" s="7"/>
      <c r="J52" s="7"/>
      <c r="K52" s="9"/>
      <c r="L52" s="10"/>
      <c r="M52" s="10"/>
      <c r="N52" s="10"/>
      <c r="O52" s="10"/>
      <c r="P52" s="11"/>
      <c r="Q52" s="9"/>
      <c r="R52" s="12" t="str">
        <f aca="false">IF(AND(ISNUMBER(K52),ISNUMBER(Q52),K52&gt;0),Q52/K52,"")</f>
        <v/>
      </c>
      <c r="S52" s="11"/>
      <c r="T52" s="9"/>
      <c r="U52" s="10"/>
      <c r="V52" s="11"/>
      <c r="W52" s="11"/>
      <c r="X52" s="11"/>
      <c r="Y52" s="12" t="str">
        <f aca="false">IF(COUNT(V52:X52)=0,"",MAX(0,1-SUM(V52:X52)))</f>
        <v/>
      </c>
      <c r="Z52" s="13"/>
      <c r="AA52" s="9"/>
      <c r="AB52" s="7"/>
      <c r="AC52" s="7"/>
      <c r="AD52" s="7"/>
      <c r="AE52" s="7"/>
      <c r="AF52" s="14" t="str">
        <f aca="false">IF(D52="","",COUNTIF($D$2:D52,D52))</f>
        <v/>
      </c>
      <c r="AG52" s="15" t="str">
        <f aca="false" t="array" ref="AG52:AG52">IF(D52="","",IFERROR(MEDIAN(IF(($D$2:$D$401=D52)*($AF$2:$AF$401&gt;=AF52-5)*($AF$2:$AF$401&lt;=AF52-1)*($M$2:$M$401&lt;&gt;""),$M$2:$M$401)),""))</f>
        <v/>
      </c>
      <c r="AH52" s="16" t="str">
        <f aca="false">IF(AND(ISNUMBER(M52),ISNUMBER(AG52)),IF(AG52&gt;0,M52/AG52,""),"")</f>
        <v/>
      </c>
      <c r="AI52" s="15" t="str">
        <f aca="false" t="array" ref="AI52:AI52">IF(D52="","",IFERROR(MEDIAN(IF(($D$2:$D$401=D52)*($AF$2:$AF$401&gt;=AF52-5)*($AF$2:$AF$401&lt;=AF52-1)*($N$2:$N$401&lt;&gt;""),$N$2:$N$401)),""))</f>
        <v/>
      </c>
      <c r="AJ52" s="16" t="str">
        <f aca="false">IF(AND(ISNUMBER(N52),ISNUMBER(AI52)),IF(AI52&gt;0,N52/AI52,""),"")</f>
        <v/>
      </c>
      <c r="AK52" s="12" t="str">
        <f aca="false" t="array" ref="AK52:AK52">IF(D52="","",IFERROR(MEDIAN(IF(($D$2:$D$401=D52)*ISNUMBER($R$2:$R$401),$R$2:$R$401)),""))</f>
        <v/>
      </c>
      <c r="AL52" s="17" t="str">
        <f aca="false">IF(ISNUMBER(AJ52),IF(AND(AJ52&gt;=Resumen!$C$5,OR(NOT(ISNUMBER(R52)),NOT(ISNUMBER(AK52)),R52&gt;=AK52)),"Ganador",IF(AJ52&lt;=Resumen!$C$6,"Perdedor","Normal")),IF(ISNUMBER(AH52),IF(AH52&gt;=Resumen!$C$5,"Ganador (7 d, provisional)",IF(AH52&lt;=Resumen!$C$6,"Perdedor (7 d, provisional)","Normal (7 d, provisional)")),""))</f>
        <v/>
      </c>
      <c r="AM52" s="18" t="str">
        <f aca="false">IF(AND(ISNUMBER(Z52),ISNUMBER(N52)),IF(N52&gt;0,Z52/N52*1000,""),"")</f>
        <v/>
      </c>
      <c r="AN52" s="19" t="str">
        <f aca="false">IF(AND(ISNUMBER(U52),ISNUMBER(N52)),IF(N52&gt;0,U52/N52*1000,""),"")</f>
        <v/>
      </c>
    </row>
    <row r="53" customFormat="false" ht="15" hidden="false" customHeight="false" outlineLevel="0" collapsed="false">
      <c r="A53" s="7"/>
      <c r="B53" s="7"/>
      <c r="C53" s="8"/>
      <c r="D53" s="7"/>
      <c r="E53" s="7"/>
      <c r="F53" s="7"/>
      <c r="G53" s="7"/>
      <c r="H53" s="7"/>
      <c r="I53" s="7"/>
      <c r="J53" s="7"/>
      <c r="K53" s="9"/>
      <c r="L53" s="10"/>
      <c r="M53" s="10"/>
      <c r="N53" s="10"/>
      <c r="O53" s="10"/>
      <c r="P53" s="11"/>
      <c r="Q53" s="9"/>
      <c r="R53" s="12" t="str">
        <f aca="false">IF(AND(ISNUMBER(K53),ISNUMBER(Q53),K53&gt;0),Q53/K53,"")</f>
        <v/>
      </c>
      <c r="S53" s="11"/>
      <c r="T53" s="9"/>
      <c r="U53" s="10"/>
      <c r="V53" s="11"/>
      <c r="W53" s="11"/>
      <c r="X53" s="11"/>
      <c r="Y53" s="12" t="str">
        <f aca="false">IF(COUNT(V53:X53)=0,"",MAX(0,1-SUM(V53:X53)))</f>
        <v/>
      </c>
      <c r="Z53" s="13"/>
      <c r="AA53" s="9"/>
      <c r="AB53" s="7"/>
      <c r="AC53" s="7"/>
      <c r="AD53" s="7"/>
      <c r="AE53" s="7"/>
      <c r="AF53" s="14" t="str">
        <f aca="false">IF(D53="","",COUNTIF($D$2:D53,D53))</f>
        <v/>
      </c>
      <c r="AG53" s="15" t="str">
        <f aca="false" t="array" ref="AG53:AG53">IF(D53="","",IFERROR(MEDIAN(IF(($D$2:$D$401=D53)*($AF$2:$AF$401&gt;=AF53-5)*($AF$2:$AF$401&lt;=AF53-1)*($M$2:$M$401&lt;&gt;""),$M$2:$M$401)),""))</f>
        <v/>
      </c>
      <c r="AH53" s="16" t="str">
        <f aca="false">IF(AND(ISNUMBER(M53),ISNUMBER(AG53)),IF(AG53&gt;0,M53/AG53,""),"")</f>
        <v/>
      </c>
      <c r="AI53" s="15" t="str">
        <f aca="false" t="array" ref="AI53:AI53">IF(D53="","",IFERROR(MEDIAN(IF(($D$2:$D$401=D53)*($AF$2:$AF$401&gt;=AF53-5)*($AF$2:$AF$401&lt;=AF53-1)*($N$2:$N$401&lt;&gt;""),$N$2:$N$401)),""))</f>
        <v/>
      </c>
      <c r="AJ53" s="16" t="str">
        <f aca="false">IF(AND(ISNUMBER(N53),ISNUMBER(AI53)),IF(AI53&gt;0,N53/AI53,""),"")</f>
        <v/>
      </c>
      <c r="AK53" s="12" t="str">
        <f aca="false" t="array" ref="AK53:AK53">IF(D53="","",IFERROR(MEDIAN(IF(($D$2:$D$401=D53)*ISNUMBER($R$2:$R$401),$R$2:$R$401)),""))</f>
        <v/>
      </c>
      <c r="AL53" s="17" t="str">
        <f aca="false">IF(ISNUMBER(AJ53),IF(AND(AJ53&gt;=Resumen!$C$5,OR(NOT(ISNUMBER(R53)),NOT(ISNUMBER(AK53)),R53&gt;=AK53)),"Ganador",IF(AJ53&lt;=Resumen!$C$6,"Perdedor","Normal")),IF(ISNUMBER(AH53),IF(AH53&gt;=Resumen!$C$5,"Ganador (7 d, provisional)",IF(AH53&lt;=Resumen!$C$6,"Perdedor (7 d, provisional)","Normal (7 d, provisional)")),""))</f>
        <v/>
      </c>
      <c r="AM53" s="18" t="str">
        <f aca="false">IF(AND(ISNUMBER(Z53),ISNUMBER(N53)),IF(N53&gt;0,Z53/N53*1000,""),"")</f>
        <v/>
      </c>
      <c r="AN53" s="19" t="str">
        <f aca="false">IF(AND(ISNUMBER(U53),ISNUMBER(N53)),IF(N53&gt;0,U53/N53*1000,""),"")</f>
        <v/>
      </c>
    </row>
    <row r="54" customFormat="false" ht="15" hidden="false" customHeight="false" outlineLevel="0" collapsed="false">
      <c r="A54" s="7"/>
      <c r="B54" s="7"/>
      <c r="C54" s="8"/>
      <c r="D54" s="7"/>
      <c r="E54" s="7"/>
      <c r="F54" s="7"/>
      <c r="G54" s="7"/>
      <c r="H54" s="7"/>
      <c r="I54" s="7"/>
      <c r="J54" s="7"/>
      <c r="K54" s="9"/>
      <c r="L54" s="10"/>
      <c r="M54" s="10"/>
      <c r="N54" s="10"/>
      <c r="O54" s="10"/>
      <c r="P54" s="11"/>
      <c r="Q54" s="9"/>
      <c r="R54" s="12" t="str">
        <f aca="false">IF(AND(ISNUMBER(K54),ISNUMBER(Q54),K54&gt;0),Q54/K54,"")</f>
        <v/>
      </c>
      <c r="S54" s="11"/>
      <c r="T54" s="9"/>
      <c r="U54" s="10"/>
      <c r="V54" s="11"/>
      <c r="W54" s="11"/>
      <c r="X54" s="11"/>
      <c r="Y54" s="12" t="str">
        <f aca="false">IF(COUNT(V54:X54)=0,"",MAX(0,1-SUM(V54:X54)))</f>
        <v/>
      </c>
      <c r="Z54" s="13"/>
      <c r="AA54" s="9"/>
      <c r="AB54" s="7"/>
      <c r="AC54" s="7"/>
      <c r="AD54" s="7"/>
      <c r="AE54" s="7"/>
      <c r="AF54" s="14" t="str">
        <f aca="false">IF(D54="","",COUNTIF($D$2:D54,D54))</f>
        <v/>
      </c>
      <c r="AG54" s="15" t="str">
        <f aca="false" t="array" ref="AG54:AG54">IF(D54="","",IFERROR(MEDIAN(IF(($D$2:$D$401=D54)*($AF$2:$AF$401&gt;=AF54-5)*($AF$2:$AF$401&lt;=AF54-1)*($M$2:$M$401&lt;&gt;""),$M$2:$M$401)),""))</f>
        <v/>
      </c>
      <c r="AH54" s="16" t="str">
        <f aca="false">IF(AND(ISNUMBER(M54),ISNUMBER(AG54)),IF(AG54&gt;0,M54/AG54,""),"")</f>
        <v/>
      </c>
      <c r="AI54" s="15" t="str">
        <f aca="false" t="array" ref="AI54:AI54">IF(D54="","",IFERROR(MEDIAN(IF(($D$2:$D$401=D54)*($AF$2:$AF$401&gt;=AF54-5)*($AF$2:$AF$401&lt;=AF54-1)*($N$2:$N$401&lt;&gt;""),$N$2:$N$401)),""))</f>
        <v/>
      </c>
      <c r="AJ54" s="16" t="str">
        <f aca="false">IF(AND(ISNUMBER(N54),ISNUMBER(AI54)),IF(AI54&gt;0,N54/AI54,""),"")</f>
        <v/>
      </c>
      <c r="AK54" s="12" t="str">
        <f aca="false" t="array" ref="AK54:AK54">IF(D54="","",IFERROR(MEDIAN(IF(($D$2:$D$401=D54)*ISNUMBER($R$2:$R$401),$R$2:$R$401)),""))</f>
        <v/>
      </c>
      <c r="AL54" s="17" t="str">
        <f aca="false">IF(ISNUMBER(AJ54),IF(AND(AJ54&gt;=Resumen!$C$5,OR(NOT(ISNUMBER(R54)),NOT(ISNUMBER(AK54)),R54&gt;=AK54)),"Ganador",IF(AJ54&lt;=Resumen!$C$6,"Perdedor","Normal")),IF(ISNUMBER(AH54),IF(AH54&gt;=Resumen!$C$5,"Ganador (7 d, provisional)",IF(AH54&lt;=Resumen!$C$6,"Perdedor (7 d, provisional)","Normal (7 d, provisional)")),""))</f>
        <v/>
      </c>
      <c r="AM54" s="18" t="str">
        <f aca="false">IF(AND(ISNUMBER(Z54),ISNUMBER(N54)),IF(N54&gt;0,Z54/N54*1000,""),"")</f>
        <v/>
      </c>
      <c r="AN54" s="19" t="str">
        <f aca="false">IF(AND(ISNUMBER(U54),ISNUMBER(N54)),IF(N54&gt;0,U54/N54*1000,""),"")</f>
        <v/>
      </c>
    </row>
    <row r="55" customFormat="false" ht="15" hidden="false" customHeight="false" outlineLevel="0" collapsed="false">
      <c r="A55" s="7"/>
      <c r="B55" s="7"/>
      <c r="C55" s="8"/>
      <c r="D55" s="7"/>
      <c r="E55" s="7"/>
      <c r="F55" s="7"/>
      <c r="G55" s="7"/>
      <c r="H55" s="7"/>
      <c r="I55" s="7"/>
      <c r="J55" s="7"/>
      <c r="K55" s="9"/>
      <c r="L55" s="10"/>
      <c r="M55" s="10"/>
      <c r="N55" s="10"/>
      <c r="O55" s="10"/>
      <c r="P55" s="11"/>
      <c r="Q55" s="9"/>
      <c r="R55" s="12" t="str">
        <f aca="false">IF(AND(ISNUMBER(K55),ISNUMBER(Q55),K55&gt;0),Q55/K55,"")</f>
        <v/>
      </c>
      <c r="S55" s="11"/>
      <c r="T55" s="9"/>
      <c r="U55" s="10"/>
      <c r="V55" s="11"/>
      <c r="W55" s="11"/>
      <c r="X55" s="11"/>
      <c r="Y55" s="12" t="str">
        <f aca="false">IF(COUNT(V55:X55)=0,"",MAX(0,1-SUM(V55:X55)))</f>
        <v/>
      </c>
      <c r="Z55" s="13"/>
      <c r="AA55" s="9"/>
      <c r="AB55" s="7"/>
      <c r="AC55" s="7"/>
      <c r="AD55" s="7"/>
      <c r="AE55" s="7"/>
      <c r="AF55" s="14" t="str">
        <f aca="false">IF(D55="","",COUNTIF($D$2:D55,D55))</f>
        <v/>
      </c>
      <c r="AG55" s="15" t="str">
        <f aca="false" t="array" ref="AG55:AG55">IF(D55="","",IFERROR(MEDIAN(IF(($D$2:$D$401=D55)*($AF$2:$AF$401&gt;=AF55-5)*($AF$2:$AF$401&lt;=AF55-1)*($M$2:$M$401&lt;&gt;""),$M$2:$M$401)),""))</f>
        <v/>
      </c>
      <c r="AH55" s="16" t="str">
        <f aca="false">IF(AND(ISNUMBER(M55),ISNUMBER(AG55)),IF(AG55&gt;0,M55/AG55,""),"")</f>
        <v/>
      </c>
      <c r="AI55" s="15" t="str">
        <f aca="false" t="array" ref="AI55:AI55">IF(D55="","",IFERROR(MEDIAN(IF(($D$2:$D$401=D55)*($AF$2:$AF$401&gt;=AF55-5)*($AF$2:$AF$401&lt;=AF55-1)*($N$2:$N$401&lt;&gt;""),$N$2:$N$401)),""))</f>
        <v/>
      </c>
      <c r="AJ55" s="16" t="str">
        <f aca="false">IF(AND(ISNUMBER(N55),ISNUMBER(AI55)),IF(AI55&gt;0,N55/AI55,""),"")</f>
        <v/>
      </c>
      <c r="AK55" s="12" t="str">
        <f aca="false" t="array" ref="AK55:AK55">IF(D55="","",IFERROR(MEDIAN(IF(($D$2:$D$401=D55)*ISNUMBER($R$2:$R$401),$R$2:$R$401)),""))</f>
        <v/>
      </c>
      <c r="AL55" s="17" t="str">
        <f aca="false">IF(ISNUMBER(AJ55),IF(AND(AJ55&gt;=Resumen!$C$5,OR(NOT(ISNUMBER(R55)),NOT(ISNUMBER(AK55)),R55&gt;=AK55)),"Ganador",IF(AJ55&lt;=Resumen!$C$6,"Perdedor","Normal")),IF(ISNUMBER(AH55),IF(AH55&gt;=Resumen!$C$5,"Ganador (7 d, provisional)",IF(AH55&lt;=Resumen!$C$6,"Perdedor (7 d, provisional)","Normal (7 d, provisional)")),""))</f>
        <v/>
      </c>
      <c r="AM55" s="18" t="str">
        <f aca="false">IF(AND(ISNUMBER(Z55),ISNUMBER(N55)),IF(N55&gt;0,Z55/N55*1000,""),"")</f>
        <v/>
      </c>
      <c r="AN55" s="19" t="str">
        <f aca="false">IF(AND(ISNUMBER(U55),ISNUMBER(N55)),IF(N55&gt;0,U55/N55*1000,""),"")</f>
        <v/>
      </c>
    </row>
    <row r="56" customFormat="false" ht="15" hidden="false" customHeight="false" outlineLevel="0" collapsed="false">
      <c r="A56" s="7"/>
      <c r="B56" s="7"/>
      <c r="C56" s="8"/>
      <c r="D56" s="7"/>
      <c r="E56" s="7"/>
      <c r="F56" s="7"/>
      <c r="G56" s="7"/>
      <c r="H56" s="7"/>
      <c r="I56" s="7"/>
      <c r="J56" s="7"/>
      <c r="K56" s="9"/>
      <c r="L56" s="10"/>
      <c r="M56" s="10"/>
      <c r="N56" s="10"/>
      <c r="O56" s="10"/>
      <c r="P56" s="11"/>
      <c r="Q56" s="9"/>
      <c r="R56" s="12" t="str">
        <f aca="false">IF(AND(ISNUMBER(K56),ISNUMBER(Q56),K56&gt;0),Q56/K56,"")</f>
        <v/>
      </c>
      <c r="S56" s="11"/>
      <c r="T56" s="9"/>
      <c r="U56" s="10"/>
      <c r="V56" s="11"/>
      <c r="W56" s="11"/>
      <c r="X56" s="11"/>
      <c r="Y56" s="12" t="str">
        <f aca="false">IF(COUNT(V56:X56)=0,"",MAX(0,1-SUM(V56:X56)))</f>
        <v/>
      </c>
      <c r="Z56" s="13"/>
      <c r="AA56" s="9"/>
      <c r="AB56" s="7"/>
      <c r="AC56" s="7"/>
      <c r="AD56" s="7"/>
      <c r="AE56" s="7"/>
      <c r="AF56" s="14" t="str">
        <f aca="false">IF(D56="","",COUNTIF($D$2:D56,D56))</f>
        <v/>
      </c>
      <c r="AG56" s="15" t="str">
        <f aca="false" t="array" ref="AG56:AG56">IF(D56="","",IFERROR(MEDIAN(IF(($D$2:$D$401=D56)*($AF$2:$AF$401&gt;=AF56-5)*($AF$2:$AF$401&lt;=AF56-1)*($M$2:$M$401&lt;&gt;""),$M$2:$M$401)),""))</f>
        <v/>
      </c>
      <c r="AH56" s="16" t="str">
        <f aca="false">IF(AND(ISNUMBER(M56),ISNUMBER(AG56)),IF(AG56&gt;0,M56/AG56,""),"")</f>
        <v/>
      </c>
      <c r="AI56" s="15" t="str">
        <f aca="false" t="array" ref="AI56:AI56">IF(D56="","",IFERROR(MEDIAN(IF(($D$2:$D$401=D56)*($AF$2:$AF$401&gt;=AF56-5)*($AF$2:$AF$401&lt;=AF56-1)*($N$2:$N$401&lt;&gt;""),$N$2:$N$401)),""))</f>
        <v/>
      </c>
      <c r="AJ56" s="16" t="str">
        <f aca="false">IF(AND(ISNUMBER(N56),ISNUMBER(AI56)),IF(AI56&gt;0,N56/AI56,""),"")</f>
        <v/>
      </c>
      <c r="AK56" s="12" t="str">
        <f aca="false" t="array" ref="AK56:AK56">IF(D56="","",IFERROR(MEDIAN(IF(($D$2:$D$401=D56)*ISNUMBER($R$2:$R$401),$R$2:$R$401)),""))</f>
        <v/>
      </c>
      <c r="AL56" s="17" t="str">
        <f aca="false">IF(ISNUMBER(AJ56),IF(AND(AJ56&gt;=Resumen!$C$5,OR(NOT(ISNUMBER(R56)),NOT(ISNUMBER(AK56)),R56&gt;=AK56)),"Ganador",IF(AJ56&lt;=Resumen!$C$6,"Perdedor","Normal")),IF(ISNUMBER(AH56),IF(AH56&gt;=Resumen!$C$5,"Ganador (7 d, provisional)",IF(AH56&lt;=Resumen!$C$6,"Perdedor (7 d, provisional)","Normal (7 d, provisional)")),""))</f>
        <v/>
      </c>
      <c r="AM56" s="18" t="str">
        <f aca="false">IF(AND(ISNUMBER(Z56),ISNUMBER(N56)),IF(N56&gt;0,Z56/N56*1000,""),"")</f>
        <v/>
      </c>
      <c r="AN56" s="19" t="str">
        <f aca="false">IF(AND(ISNUMBER(U56),ISNUMBER(N56)),IF(N56&gt;0,U56/N56*1000,""),"")</f>
        <v/>
      </c>
    </row>
    <row r="57" customFormat="false" ht="15" hidden="false" customHeight="false" outlineLevel="0" collapsed="false">
      <c r="A57" s="7"/>
      <c r="B57" s="7"/>
      <c r="C57" s="8"/>
      <c r="D57" s="7"/>
      <c r="E57" s="7"/>
      <c r="F57" s="7"/>
      <c r="G57" s="7"/>
      <c r="H57" s="7"/>
      <c r="I57" s="7"/>
      <c r="J57" s="7"/>
      <c r="K57" s="9"/>
      <c r="L57" s="10"/>
      <c r="M57" s="10"/>
      <c r="N57" s="10"/>
      <c r="O57" s="10"/>
      <c r="P57" s="11"/>
      <c r="Q57" s="9"/>
      <c r="R57" s="12" t="str">
        <f aca="false">IF(AND(ISNUMBER(K57),ISNUMBER(Q57),K57&gt;0),Q57/K57,"")</f>
        <v/>
      </c>
      <c r="S57" s="11"/>
      <c r="T57" s="9"/>
      <c r="U57" s="10"/>
      <c r="V57" s="11"/>
      <c r="W57" s="11"/>
      <c r="X57" s="11"/>
      <c r="Y57" s="12" t="str">
        <f aca="false">IF(COUNT(V57:X57)=0,"",MAX(0,1-SUM(V57:X57)))</f>
        <v/>
      </c>
      <c r="Z57" s="13"/>
      <c r="AA57" s="9"/>
      <c r="AB57" s="7"/>
      <c r="AC57" s="7"/>
      <c r="AD57" s="7"/>
      <c r="AE57" s="7"/>
      <c r="AF57" s="14" t="str">
        <f aca="false">IF(D57="","",COUNTIF($D$2:D57,D57))</f>
        <v/>
      </c>
      <c r="AG57" s="15" t="str">
        <f aca="false" t="array" ref="AG57:AG57">IF(D57="","",IFERROR(MEDIAN(IF(($D$2:$D$401=D57)*($AF$2:$AF$401&gt;=AF57-5)*($AF$2:$AF$401&lt;=AF57-1)*($M$2:$M$401&lt;&gt;""),$M$2:$M$401)),""))</f>
        <v/>
      </c>
      <c r="AH57" s="16" t="str">
        <f aca="false">IF(AND(ISNUMBER(M57),ISNUMBER(AG57)),IF(AG57&gt;0,M57/AG57,""),"")</f>
        <v/>
      </c>
      <c r="AI57" s="15" t="str">
        <f aca="false" t="array" ref="AI57:AI57">IF(D57="","",IFERROR(MEDIAN(IF(($D$2:$D$401=D57)*($AF$2:$AF$401&gt;=AF57-5)*($AF$2:$AF$401&lt;=AF57-1)*($N$2:$N$401&lt;&gt;""),$N$2:$N$401)),""))</f>
        <v/>
      </c>
      <c r="AJ57" s="16" t="str">
        <f aca="false">IF(AND(ISNUMBER(N57),ISNUMBER(AI57)),IF(AI57&gt;0,N57/AI57,""),"")</f>
        <v/>
      </c>
      <c r="AK57" s="12" t="str">
        <f aca="false" t="array" ref="AK57:AK57">IF(D57="","",IFERROR(MEDIAN(IF(($D$2:$D$401=D57)*ISNUMBER($R$2:$R$401),$R$2:$R$401)),""))</f>
        <v/>
      </c>
      <c r="AL57" s="17" t="str">
        <f aca="false">IF(ISNUMBER(AJ57),IF(AND(AJ57&gt;=Resumen!$C$5,OR(NOT(ISNUMBER(R57)),NOT(ISNUMBER(AK57)),R57&gt;=AK57)),"Ganador",IF(AJ57&lt;=Resumen!$C$6,"Perdedor","Normal")),IF(ISNUMBER(AH57),IF(AH57&gt;=Resumen!$C$5,"Ganador (7 d, provisional)",IF(AH57&lt;=Resumen!$C$6,"Perdedor (7 d, provisional)","Normal (7 d, provisional)")),""))</f>
        <v/>
      </c>
      <c r="AM57" s="18" t="str">
        <f aca="false">IF(AND(ISNUMBER(Z57),ISNUMBER(N57)),IF(N57&gt;0,Z57/N57*1000,""),"")</f>
        <v/>
      </c>
      <c r="AN57" s="19" t="str">
        <f aca="false">IF(AND(ISNUMBER(U57),ISNUMBER(N57)),IF(N57&gt;0,U57/N57*1000,""),"")</f>
        <v/>
      </c>
    </row>
    <row r="58" customFormat="false" ht="15" hidden="false" customHeight="false" outlineLevel="0" collapsed="false">
      <c r="A58" s="7"/>
      <c r="B58" s="7"/>
      <c r="C58" s="8"/>
      <c r="D58" s="7"/>
      <c r="E58" s="7"/>
      <c r="F58" s="7"/>
      <c r="G58" s="7"/>
      <c r="H58" s="7"/>
      <c r="I58" s="7"/>
      <c r="J58" s="7"/>
      <c r="K58" s="9"/>
      <c r="L58" s="10"/>
      <c r="M58" s="10"/>
      <c r="N58" s="10"/>
      <c r="O58" s="10"/>
      <c r="P58" s="11"/>
      <c r="Q58" s="9"/>
      <c r="R58" s="12" t="str">
        <f aca="false">IF(AND(ISNUMBER(K58),ISNUMBER(Q58),K58&gt;0),Q58/K58,"")</f>
        <v/>
      </c>
      <c r="S58" s="11"/>
      <c r="T58" s="9"/>
      <c r="U58" s="10"/>
      <c r="V58" s="11"/>
      <c r="W58" s="11"/>
      <c r="X58" s="11"/>
      <c r="Y58" s="12" t="str">
        <f aca="false">IF(COUNT(V58:X58)=0,"",MAX(0,1-SUM(V58:X58)))</f>
        <v/>
      </c>
      <c r="Z58" s="13"/>
      <c r="AA58" s="9"/>
      <c r="AB58" s="7"/>
      <c r="AC58" s="7"/>
      <c r="AD58" s="7"/>
      <c r="AE58" s="7"/>
      <c r="AF58" s="14" t="str">
        <f aca="false">IF(D58="","",COUNTIF($D$2:D58,D58))</f>
        <v/>
      </c>
      <c r="AG58" s="15" t="str">
        <f aca="false" t="array" ref="AG58:AG58">IF(D58="","",IFERROR(MEDIAN(IF(($D$2:$D$401=D58)*($AF$2:$AF$401&gt;=AF58-5)*($AF$2:$AF$401&lt;=AF58-1)*($M$2:$M$401&lt;&gt;""),$M$2:$M$401)),""))</f>
        <v/>
      </c>
      <c r="AH58" s="16" t="str">
        <f aca="false">IF(AND(ISNUMBER(M58),ISNUMBER(AG58)),IF(AG58&gt;0,M58/AG58,""),"")</f>
        <v/>
      </c>
      <c r="AI58" s="15" t="str">
        <f aca="false" t="array" ref="AI58:AI58">IF(D58="","",IFERROR(MEDIAN(IF(($D$2:$D$401=D58)*($AF$2:$AF$401&gt;=AF58-5)*($AF$2:$AF$401&lt;=AF58-1)*($N$2:$N$401&lt;&gt;""),$N$2:$N$401)),""))</f>
        <v/>
      </c>
      <c r="AJ58" s="16" t="str">
        <f aca="false">IF(AND(ISNUMBER(N58),ISNUMBER(AI58)),IF(AI58&gt;0,N58/AI58,""),"")</f>
        <v/>
      </c>
      <c r="AK58" s="12" t="str">
        <f aca="false" t="array" ref="AK58:AK58">IF(D58="","",IFERROR(MEDIAN(IF(($D$2:$D$401=D58)*ISNUMBER($R$2:$R$401),$R$2:$R$401)),""))</f>
        <v/>
      </c>
      <c r="AL58" s="17" t="str">
        <f aca="false">IF(ISNUMBER(AJ58),IF(AND(AJ58&gt;=Resumen!$C$5,OR(NOT(ISNUMBER(R58)),NOT(ISNUMBER(AK58)),R58&gt;=AK58)),"Ganador",IF(AJ58&lt;=Resumen!$C$6,"Perdedor","Normal")),IF(ISNUMBER(AH58),IF(AH58&gt;=Resumen!$C$5,"Ganador (7 d, provisional)",IF(AH58&lt;=Resumen!$C$6,"Perdedor (7 d, provisional)","Normal (7 d, provisional)")),""))</f>
        <v/>
      </c>
      <c r="AM58" s="18" t="str">
        <f aca="false">IF(AND(ISNUMBER(Z58),ISNUMBER(N58)),IF(N58&gt;0,Z58/N58*1000,""),"")</f>
        <v/>
      </c>
      <c r="AN58" s="19" t="str">
        <f aca="false">IF(AND(ISNUMBER(U58),ISNUMBER(N58)),IF(N58&gt;0,U58/N58*1000,""),"")</f>
        <v/>
      </c>
    </row>
    <row r="59" customFormat="false" ht="15" hidden="false" customHeight="false" outlineLevel="0" collapsed="false">
      <c r="A59" s="7"/>
      <c r="B59" s="7"/>
      <c r="C59" s="8"/>
      <c r="D59" s="7"/>
      <c r="E59" s="7"/>
      <c r="F59" s="7"/>
      <c r="G59" s="7"/>
      <c r="H59" s="7"/>
      <c r="I59" s="7"/>
      <c r="J59" s="7"/>
      <c r="K59" s="9"/>
      <c r="L59" s="10"/>
      <c r="M59" s="10"/>
      <c r="N59" s="10"/>
      <c r="O59" s="10"/>
      <c r="P59" s="11"/>
      <c r="Q59" s="9"/>
      <c r="R59" s="12" t="str">
        <f aca="false">IF(AND(ISNUMBER(K59),ISNUMBER(Q59),K59&gt;0),Q59/K59,"")</f>
        <v/>
      </c>
      <c r="S59" s="11"/>
      <c r="T59" s="9"/>
      <c r="U59" s="10"/>
      <c r="V59" s="11"/>
      <c r="W59" s="11"/>
      <c r="X59" s="11"/>
      <c r="Y59" s="12" t="str">
        <f aca="false">IF(COUNT(V59:X59)=0,"",MAX(0,1-SUM(V59:X59)))</f>
        <v/>
      </c>
      <c r="Z59" s="13"/>
      <c r="AA59" s="9"/>
      <c r="AB59" s="7"/>
      <c r="AC59" s="7"/>
      <c r="AD59" s="7"/>
      <c r="AE59" s="7"/>
      <c r="AF59" s="14" t="str">
        <f aca="false">IF(D59="","",COUNTIF($D$2:D59,D59))</f>
        <v/>
      </c>
      <c r="AG59" s="15" t="str">
        <f aca="false" t="array" ref="AG59:AG59">IF(D59="","",IFERROR(MEDIAN(IF(($D$2:$D$401=D59)*($AF$2:$AF$401&gt;=AF59-5)*($AF$2:$AF$401&lt;=AF59-1)*($M$2:$M$401&lt;&gt;""),$M$2:$M$401)),""))</f>
        <v/>
      </c>
      <c r="AH59" s="16" t="str">
        <f aca="false">IF(AND(ISNUMBER(M59),ISNUMBER(AG59)),IF(AG59&gt;0,M59/AG59,""),"")</f>
        <v/>
      </c>
      <c r="AI59" s="15" t="str">
        <f aca="false" t="array" ref="AI59:AI59">IF(D59="","",IFERROR(MEDIAN(IF(($D$2:$D$401=D59)*($AF$2:$AF$401&gt;=AF59-5)*($AF$2:$AF$401&lt;=AF59-1)*($N$2:$N$401&lt;&gt;""),$N$2:$N$401)),""))</f>
        <v/>
      </c>
      <c r="AJ59" s="16" t="str">
        <f aca="false">IF(AND(ISNUMBER(N59),ISNUMBER(AI59)),IF(AI59&gt;0,N59/AI59,""),"")</f>
        <v/>
      </c>
      <c r="AK59" s="12" t="str">
        <f aca="false" t="array" ref="AK59:AK59">IF(D59="","",IFERROR(MEDIAN(IF(($D$2:$D$401=D59)*ISNUMBER($R$2:$R$401),$R$2:$R$401)),""))</f>
        <v/>
      </c>
      <c r="AL59" s="17" t="str">
        <f aca="false">IF(ISNUMBER(AJ59),IF(AND(AJ59&gt;=Resumen!$C$5,OR(NOT(ISNUMBER(R59)),NOT(ISNUMBER(AK59)),R59&gt;=AK59)),"Ganador",IF(AJ59&lt;=Resumen!$C$6,"Perdedor","Normal")),IF(ISNUMBER(AH59),IF(AH59&gt;=Resumen!$C$5,"Ganador (7 d, provisional)",IF(AH59&lt;=Resumen!$C$6,"Perdedor (7 d, provisional)","Normal (7 d, provisional)")),""))</f>
        <v/>
      </c>
      <c r="AM59" s="18" t="str">
        <f aca="false">IF(AND(ISNUMBER(Z59),ISNUMBER(N59)),IF(N59&gt;0,Z59/N59*1000,""),"")</f>
        <v/>
      </c>
      <c r="AN59" s="19" t="str">
        <f aca="false">IF(AND(ISNUMBER(U59),ISNUMBER(N59)),IF(N59&gt;0,U59/N59*1000,""),"")</f>
        <v/>
      </c>
    </row>
    <row r="60" customFormat="false" ht="15" hidden="false" customHeight="false" outlineLevel="0" collapsed="false">
      <c r="A60" s="7"/>
      <c r="B60" s="7"/>
      <c r="C60" s="8"/>
      <c r="D60" s="7"/>
      <c r="E60" s="7"/>
      <c r="F60" s="7"/>
      <c r="G60" s="7"/>
      <c r="H60" s="7"/>
      <c r="I60" s="7"/>
      <c r="J60" s="7"/>
      <c r="K60" s="9"/>
      <c r="L60" s="10"/>
      <c r="M60" s="10"/>
      <c r="N60" s="10"/>
      <c r="O60" s="10"/>
      <c r="P60" s="11"/>
      <c r="Q60" s="9"/>
      <c r="R60" s="12" t="str">
        <f aca="false">IF(AND(ISNUMBER(K60),ISNUMBER(Q60),K60&gt;0),Q60/K60,"")</f>
        <v/>
      </c>
      <c r="S60" s="11"/>
      <c r="T60" s="9"/>
      <c r="U60" s="10"/>
      <c r="V60" s="11"/>
      <c r="W60" s="11"/>
      <c r="X60" s="11"/>
      <c r="Y60" s="12" t="str">
        <f aca="false">IF(COUNT(V60:X60)=0,"",MAX(0,1-SUM(V60:X60)))</f>
        <v/>
      </c>
      <c r="Z60" s="13"/>
      <c r="AA60" s="9"/>
      <c r="AB60" s="7"/>
      <c r="AC60" s="7"/>
      <c r="AD60" s="7"/>
      <c r="AE60" s="7"/>
      <c r="AF60" s="14" t="str">
        <f aca="false">IF(D60="","",COUNTIF($D$2:D60,D60))</f>
        <v/>
      </c>
      <c r="AG60" s="15" t="str">
        <f aca="false" t="array" ref="AG60:AG60">IF(D60="","",IFERROR(MEDIAN(IF(($D$2:$D$401=D60)*($AF$2:$AF$401&gt;=AF60-5)*($AF$2:$AF$401&lt;=AF60-1)*($M$2:$M$401&lt;&gt;""),$M$2:$M$401)),""))</f>
        <v/>
      </c>
      <c r="AH60" s="16" t="str">
        <f aca="false">IF(AND(ISNUMBER(M60),ISNUMBER(AG60)),IF(AG60&gt;0,M60/AG60,""),"")</f>
        <v/>
      </c>
      <c r="AI60" s="15" t="str">
        <f aca="false" t="array" ref="AI60:AI60">IF(D60="","",IFERROR(MEDIAN(IF(($D$2:$D$401=D60)*($AF$2:$AF$401&gt;=AF60-5)*($AF$2:$AF$401&lt;=AF60-1)*($N$2:$N$401&lt;&gt;""),$N$2:$N$401)),""))</f>
        <v/>
      </c>
      <c r="AJ60" s="16" t="str">
        <f aca="false">IF(AND(ISNUMBER(N60),ISNUMBER(AI60)),IF(AI60&gt;0,N60/AI60,""),"")</f>
        <v/>
      </c>
      <c r="AK60" s="12" t="str">
        <f aca="false" t="array" ref="AK60:AK60">IF(D60="","",IFERROR(MEDIAN(IF(($D$2:$D$401=D60)*ISNUMBER($R$2:$R$401),$R$2:$R$401)),""))</f>
        <v/>
      </c>
      <c r="AL60" s="17" t="str">
        <f aca="false">IF(ISNUMBER(AJ60),IF(AND(AJ60&gt;=Resumen!$C$5,OR(NOT(ISNUMBER(R60)),NOT(ISNUMBER(AK60)),R60&gt;=AK60)),"Ganador",IF(AJ60&lt;=Resumen!$C$6,"Perdedor","Normal")),IF(ISNUMBER(AH60),IF(AH60&gt;=Resumen!$C$5,"Ganador (7 d, provisional)",IF(AH60&lt;=Resumen!$C$6,"Perdedor (7 d, provisional)","Normal (7 d, provisional)")),""))</f>
        <v/>
      </c>
      <c r="AM60" s="18" t="str">
        <f aca="false">IF(AND(ISNUMBER(Z60),ISNUMBER(N60)),IF(N60&gt;0,Z60/N60*1000,""),"")</f>
        <v/>
      </c>
      <c r="AN60" s="19" t="str">
        <f aca="false">IF(AND(ISNUMBER(U60),ISNUMBER(N60)),IF(N60&gt;0,U60/N60*1000,""),"")</f>
        <v/>
      </c>
    </row>
    <row r="61" customFormat="false" ht="15" hidden="false" customHeight="false" outlineLevel="0" collapsed="false">
      <c r="A61" s="7"/>
      <c r="B61" s="7"/>
      <c r="C61" s="8"/>
      <c r="D61" s="7"/>
      <c r="E61" s="7"/>
      <c r="F61" s="7"/>
      <c r="G61" s="7"/>
      <c r="H61" s="7"/>
      <c r="I61" s="7"/>
      <c r="J61" s="7"/>
      <c r="K61" s="9"/>
      <c r="L61" s="10"/>
      <c r="M61" s="10"/>
      <c r="N61" s="10"/>
      <c r="O61" s="10"/>
      <c r="P61" s="11"/>
      <c r="Q61" s="9"/>
      <c r="R61" s="12" t="str">
        <f aca="false">IF(AND(ISNUMBER(K61),ISNUMBER(Q61),K61&gt;0),Q61/K61,"")</f>
        <v/>
      </c>
      <c r="S61" s="11"/>
      <c r="T61" s="9"/>
      <c r="U61" s="10"/>
      <c r="V61" s="11"/>
      <c r="W61" s="11"/>
      <c r="X61" s="11"/>
      <c r="Y61" s="12" t="str">
        <f aca="false">IF(COUNT(V61:X61)=0,"",MAX(0,1-SUM(V61:X61)))</f>
        <v/>
      </c>
      <c r="Z61" s="13"/>
      <c r="AA61" s="9"/>
      <c r="AB61" s="7"/>
      <c r="AC61" s="7"/>
      <c r="AD61" s="7"/>
      <c r="AE61" s="7"/>
      <c r="AF61" s="14" t="str">
        <f aca="false">IF(D61="","",COUNTIF($D$2:D61,D61))</f>
        <v/>
      </c>
      <c r="AG61" s="15" t="str">
        <f aca="false" t="array" ref="AG61:AG61">IF(D61="","",IFERROR(MEDIAN(IF(($D$2:$D$401=D61)*($AF$2:$AF$401&gt;=AF61-5)*($AF$2:$AF$401&lt;=AF61-1)*($M$2:$M$401&lt;&gt;""),$M$2:$M$401)),""))</f>
        <v/>
      </c>
      <c r="AH61" s="16" t="str">
        <f aca="false">IF(AND(ISNUMBER(M61),ISNUMBER(AG61)),IF(AG61&gt;0,M61/AG61,""),"")</f>
        <v/>
      </c>
      <c r="AI61" s="15" t="str">
        <f aca="false" t="array" ref="AI61:AI61">IF(D61="","",IFERROR(MEDIAN(IF(($D$2:$D$401=D61)*($AF$2:$AF$401&gt;=AF61-5)*($AF$2:$AF$401&lt;=AF61-1)*($N$2:$N$401&lt;&gt;""),$N$2:$N$401)),""))</f>
        <v/>
      </c>
      <c r="AJ61" s="16" t="str">
        <f aca="false">IF(AND(ISNUMBER(N61),ISNUMBER(AI61)),IF(AI61&gt;0,N61/AI61,""),"")</f>
        <v/>
      </c>
      <c r="AK61" s="12" t="str">
        <f aca="false" t="array" ref="AK61:AK61">IF(D61="","",IFERROR(MEDIAN(IF(($D$2:$D$401=D61)*ISNUMBER($R$2:$R$401),$R$2:$R$401)),""))</f>
        <v/>
      </c>
      <c r="AL61" s="17" t="str">
        <f aca="false">IF(ISNUMBER(AJ61),IF(AND(AJ61&gt;=Resumen!$C$5,OR(NOT(ISNUMBER(R61)),NOT(ISNUMBER(AK61)),R61&gt;=AK61)),"Ganador",IF(AJ61&lt;=Resumen!$C$6,"Perdedor","Normal")),IF(ISNUMBER(AH61),IF(AH61&gt;=Resumen!$C$5,"Ganador (7 d, provisional)",IF(AH61&lt;=Resumen!$C$6,"Perdedor (7 d, provisional)","Normal (7 d, provisional)")),""))</f>
        <v/>
      </c>
      <c r="AM61" s="18" t="str">
        <f aca="false">IF(AND(ISNUMBER(Z61),ISNUMBER(N61)),IF(N61&gt;0,Z61/N61*1000,""),"")</f>
        <v/>
      </c>
      <c r="AN61" s="19" t="str">
        <f aca="false">IF(AND(ISNUMBER(U61),ISNUMBER(N61)),IF(N61&gt;0,U61/N61*1000,""),"")</f>
        <v/>
      </c>
    </row>
    <row r="62" customFormat="false" ht="15" hidden="false" customHeight="false" outlineLevel="0" collapsed="false">
      <c r="A62" s="7"/>
      <c r="B62" s="7"/>
      <c r="C62" s="8"/>
      <c r="D62" s="7"/>
      <c r="E62" s="7"/>
      <c r="F62" s="7"/>
      <c r="G62" s="7"/>
      <c r="H62" s="7"/>
      <c r="I62" s="7"/>
      <c r="J62" s="7"/>
      <c r="K62" s="9"/>
      <c r="L62" s="10"/>
      <c r="M62" s="10"/>
      <c r="N62" s="10"/>
      <c r="O62" s="10"/>
      <c r="P62" s="11"/>
      <c r="Q62" s="9"/>
      <c r="R62" s="12" t="str">
        <f aca="false">IF(AND(ISNUMBER(K62),ISNUMBER(Q62),K62&gt;0),Q62/K62,"")</f>
        <v/>
      </c>
      <c r="S62" s="11"/>
      <c r="T62" s="9"/>
      <c r="U62" s="10"/>
      <c r="V62" s="11"/>
      <c r="W62" s="11"/>
      <c r="X62" s="11"/>
      <c r="Y62" s="12" t="str">
        <f aca="false">IF(COUNT(V62:X62)=0,"",MAX(0,1-SUM(V62:X62)))</f>
        <v/>
      </c>
      <c r="Z62" s="13"/>
      <c r="AA62" s="9"/>
      <c r="AB62" s="7"/>
      <c r="AC62" s="7"/>
      <c r="AD62" s="7"/>
      <c r="AE62" s="7"/>
      <c r="AF62" s="14" t="str">
        <f aca="false">IF(D62="","",COUNTIF($D$2:D62,D62))</f>
        <v/>
      </c>
      <c r="AG62" s="15" t="str">
        <f aca="false" t="array" ref="AG62:AG62">IF(D62="","",IFERROR(MEDIAN(IF(($D$2:$D$401=D62)*($AF$2:$AF$401&gt;=AF62-5)*($AF$2:$AF$401&lt;=AF62-1)*($M$2:$M$401&lt;&gt;""),$M$2:$M$401)),""))</f>
        <v/>
      </c>
      <c r="AH62" s="16" t="str">
        <f aca="false">IF(AND(ISNUMBER(M62),ISNUMBER(AG62)),IF(AG62&gt;0,M62/AG62,""),"")</f>
        <v/>
      </c>
      <c r="AI62" s="15" t="str">
        <f aca="false" t="array" ref="AI62:AI62">IF(D62="","",IFERROR(MEDIAN(IF(($D$2:$D$401=D62)*($AF$2:$AF$401&gt;=AF62-5)*($AF$2:$AF$401&lt;=AF62-1)*($N$2:$N$401&lt;&gt;""),$N$2:$N$401)),""))</f>
        <v/>
      </c>
      <c r="AJ62" s="16" t="str">
        <f aca="false">IF(AND(ISNUMBER(N62),ISNUMBER(AI62)),IF(AI62&gt;0,N62/AI62,""),"")</f>
        <v/>
      </c>
      <c r="AK62" s="12" t="str">
        <f aca="false" t="array" ref="AK62:AK62">IF(D62="","",IFERROR(MEDIAN(IF(($D$2:$D$401=D62)*ISNUMBER($R$2:$R$401),$R$2:$R$401)),""))</f>
        <v/>
      </c>
      <c r="AL62" s="17" t="str">
        <f aca="false">IF(ISNUMBER(AJ62),IF(AND(AJ62&gt;=Resumen!$C$5,OR(NOT(ISNUMBER(R62)),NOT(ISNUMBER(AK62)),R62&gt;=AK62)),"Ganador",IF(AJ62&lt;=Resumen!$C$6,"Perdedor","Normal")),IF(ISNUMBER(AH62),IF(AH62&gt;=Resumen!$C$5,"Ganador (7 d, provisional)",IF(AH62&lt;=Resumen!$C$6,"Perdedor (7 d, provisional)","Normal (7 d, provisional)")),""))</f>
        <v/>
      </c>
      <c r="AM62" s="18" t="str">
        <f aca="false">IF(AND(ISNUMBER(Z62),ISNUMBER(N62)),IF(N62&gt;0,Z62/N62*1000,""),"")</f>
        <v/>
      </c>
      <c r="AN62" s="19" t="str">
        <f aca="false">IF(AND(ISNUMBER(U62),ISNUMBER(N62)),IF(N62&gt;0,U62/N62*1000,""),"")</f>
        <v/>
      </c>
    </row>
    <row r="63" customFormat="false" ht="15" hidden="false" customHeight="false" outlineLevel="0" collapsed="false">
      <c r="A63" s="7"/>
      <c r="B63" s="7"/>
      <c r="C63" s="8"/>
      <c r="D63" s="7"/>
      <c r="E63" s="7"/>
      <c r="F63" s="7"/>
      <c r="G63" s="7"/>
      <c r="H63" s="7"/>
      <c r="I63" s="7"/>
      <c r="J63" s="7"/>
      <c r="K63" s="9"/>
      <c r="L63" s="10"/>
      <c r="M63" s="10"/>
      <c r="N63" s="10"/>
      <c r="O63" s="10"/>
      <c r="P63" s="11"/>
      <c r="Q63" s="9"/>
      <c r="R63" s="12" t="str">
        <f aca="false">IF(AND(ISNUMBER(K63),ISNUMBER(Q63),K63&gt;0),Q63/K63,"")</f>
        <v/>
      </c>
      <c r="S63" s="11"/>
      <c r="T63" s="9"/>
      <c r="U63" s="10"/>
      <c r="V63" s="11"/>
      <c r="W63" s="11"/>
      <c r="X63" s="11"/>
      <c r="Y63" s="12" t="str">
        <f aca="false">IF(COUNT(V63:X63)=0,"",MAX(0,1-SUM(V63:X63)))</f>
        <v/>
      </c>
      <c r="Z63" s="13"/>
      <c r="AA63" s="9"/>
      <c r="AB63" s="7"/>
      <c r="AC63" s="7"/>
      <c r="AD63" s="7"/>
      <c r="AE63" s="7"/>
      <c r="AF63" s="14" t="str">
        <f aca="false">IF(D63="","",COUNTIF($D$2:D63,D63))</f>
        <v/>
      </c>
      <c r="AG63" s="15" t="str">
        <f aca="false" t="array" ref="AG63:AG63">IF(D63="","",IFERROR(MEDIAN(IF(($D$2:$D$401=D63)*($AF$2:$AF$401&gt;=AF63-5)*($AF$2:$AF$401&lt;=AF63-1)*($M$2:$M$401&lt;&gt;""),$M$2:$M$401)),""))</f>
        <v/>
      </c>
      <c r="AH63" s="16" t="str">
        <f aca="false">IF(AND(ISNUMBER(M63),ISNUMBER(AG63)),IF(AG63&gt;0,M63/AG63,""),"")</f>
        <v/>
      </c>
      <c r="AI63" s="15" t="str">
        <f aca="false" t="array" ref="AI63:AI63">IF(D63="","",IFERROR(MEDIAN(IF(($D$2:$D$401=D63)*($AF$2:$AF$401&gt;=AF63-5)*($AF$2:$AF$401&lt;=AF63-1)*($N$2:$N$401&lt;&gt;""),$N$2:$N$401)),""))</f>
        <v/>
      </c>
      <c r="AJ63" s="16" t="str">
        <f aca="false">IF(AND(ISNUMBER(N63),ISNUMBER(AI63)),IF(AI63&gt;0,N63/AI63,""),"")</f>
        <v/>
      </c>
      <c r="AK63" s="12" t="str">
        <f aca="false" t="array" ref="AK63:AK63">IF(D63="","",IFERROR(MEDIAN(IF(($D$2:$D$401=D63)*ISNUMBER($R$2:$R$401),$R$2:$R$401)),""))</f>
        <v/>
      </c>
      <c r="AL63" s="17" t="str">
        <f aca="false">IF(ISNUMBER(AJ63),IF(AND(AJ63&gt;=Resumen!$C$5,OR(NOT(ISNUMBER(R63)),NOT(ISNUMBER(AK63)),R63&gt;=AK63)),"Ganador",IF(AJ63&lt;=Resumen!$C$6,"Perdedor","Normal")),IF(ISNUMBER(AH63),IF(AH63&gt;=Resumen!$C$5,"Ganador (7 d, provisional)",IF(AH63&lt;=Resumen!$C$6,"Perdedor (7 d, provisional)","Normal (7 d, provisional)")),""))</f>
        <v/>
      </c>
      <c r="AM63" s="18" t="str">
        <f aca="false">IF(AND(ISNUMBER(Z63),ISNUMBER(N63)),IF(N63&gt;0,Z63/N63*1000,""),"")</f>
        <v/>
      </c>
      <c r="AN63" s="19" t="str">
        <f aca="false">IF(AND(ISNUMBER(U63),ISNUMBER(N63)),IF(N63&gt;0,U63/N63*1000,""),"")</f>
        <v/>
      </c>
    </row>
    <row r="64" customFormat="false" ht="15" hidden="false" customHeight="false" outlineLevel="0" collapsed="false">
      <c r="A64" s="7"/>
      <c r="B64" s="7"/>
      <c r="C64" s="8"/>
      <c r="D64" s="7"/>
      <c r="E64" s="7"/>
      <c r="F64" s="7"/>
      <c r="G64" s="7"/>
      <c r="H64" s="7"/>
      <c r="I64" s="7"/>
      <c r="J64" s="7"/>
      <c r="K64" s="9"/>
      <c r="L64" s="10"/>
      <c r="M64" s="10"/>
      <c r="N64" s="10"/>
      <c r="O64" s="10"/>
      <c r="P64" s="11"/>
      <c r="Q64" s="9"/>
      <c r="R64" s="12" t="str">
        <f aca="false">IF(AND(ISNUMBER(K64),ISNUMBER(Q64),K64&gt;0),Q64/K64,"")</f>
        <v/>
      </c>
      <c r="S64" s="11"/>
      <c r="T64" s="9"/>
      <c r="U64" s="10"/>
      <c r="V64" s="11"/>
      <c r="W64" s="11"/>
      <c r="X64" s="11"/>
      <c r="Y64" s="12" t="str">
        <f aca="false">IF(COUNT(V64:X64)=0,"",MAX(0,1-SUM(V64:X64)))</f>
        <v/>
      </c>
      <c r="Z64" s="13"/>
      <c r="AA64" s="9"/>
      <c r="AB64" s="7"/>
      <c r="AC64" s="7"/>
      <c r="AD64" s="7"/>
      <c r="AE64" s="7"/>
      <c r="AF64" s="14" t="str">
        <f aca="false">IF(D64="","",COUNTIF($D$2:D64,D64))</f>
        <v/>
      </c>
      <c r="AG64" s="15" t="str">
        <f aca="false" t="array" ref="AG64:AG64">IF(D64="","",IFERROR(MEDIAN(IF(($D$2:$D$401=D64)*($AF$2:$AF$401&gt;=AF64-5)*($AF$2:$AF$401&lt;=AF64-1)*($M$2:$M$401&lt;&gt;""),$M$2:$M$401)),""))</f>
        <v/>
      </c>
      <c r="AH64" s="16" t="str">
        <f aca="false">IF(AND(ISNUMBER(M64),ISNUMBER(AG64)),IF(AG64&gt;0,M64/AG64,""),"")</f>
        <v/>
      </c>
      <c r="AI64" s="15" t="str">
        <f aca="false" t="array" ref="AI64:AI64">IF(D64="","",IFERROR(MEDIAN(IF(($D$2:$D$401=D64)*($AF$2:$AF$401&gt;=AF64-5)*($AF$2:$AF$401&lt;=AF64-1)*($N$2:$N$401&lt;&gt;""),$N$2:$N$401)),""))</f>
        <v/>
      </c>
      <c r="AJ64" s="16" t="str">
        <f aca="false">IF(AND(ISNUMBER(N64),ISNUMBER(AI64)),IF(AI64&gt;0,N64/AI64,""),"")</f>
        <v/>
      </c>
      <c r="AK64" s="12" t="str">
        <f aca="false" t="array" ref="AK64:AK64">IF(D64="","",IFERROR(MEDIAN(IF(($D$2:$D$401=D64)*ISNUMBER($R$2:$R$401),$R$2:$R$401)),""))</f>
        <v/>
      </c>
      <c r="AL64" s="17" t="str">
        <f aca="false">IF(ISNUMBER(AJ64),IF(AND(AJ64&gt;=Resumen!$C$5,OR(NOT(ISNUMBER(R64)),NOT(ISNUMBER(AK64)),R64&gt;=AK64)),"Ganador",IF(AJ64&lt;=Resumen!$C$6,"Perdedor","Normal")),IF(ISNUMBER(AH64),IF(AH64&gt;=Resumen!$C$5,"Ganador (7 d, provisional)",IF(AH64&lt;=Resumen!$C$6,"Perdedor (7 d, provisional)","Normal (7 d, provisional)")),""))</f>
        <v/>
      </c>
      <c r="AM64" s="18" t="str">
        <f aca="false">IF(AND(ISNUMBER(Z64),ISNUMBER(N64)),IF(N64&gt;0,Z64/N64*1000,""),"")</f>
        <v/>
      </c>
      <c r="AN64" s="19" t="str">
        <f aca="false">IF(AND(ISNUMBER(U64),ISNUMBER(N64)),IF(N64&gt;0,U64/N64*1000,""),"")</f>
        <v/>
      </c>
    </row>
    <row r="65" customFormat="false" ht="15" hidden="false" customHeight="false" outlineLevel="0" collapsed="false">
      <c r="A65" s="7"/>
      <c r="B65" s="7"/>
      <c r="C65" s="8"/>
      <c r="D65" s="7"/>
      <c r="E65" s="7"/>
      <c r="F65" s="7"/>
      <c r="G65" s="7"/>
      <c r="H65" s="7"/>
      <c r="I65" s="7"/>
      <c r="J65" s="7"/>
      <c r="K65" s="9"/>
      <c r="L65" s="10"/>
      <c r="M65" s="10"/>
      <c r="N65" s="10"/>
      <c r="O65" s="10"/>
      <c r="P65" s="11"/>
      <c r="Q65" s="9"/>
      <c r="R65" s="12" t="str">
        <f aca="false">IF(AND(ISNUMBER(K65),ISNUMBER(Q65),K65&gt;0),Q65/K65,"")</f>
        <v/>
      </c>
      <c r="S65" s="11"/>
      <c r="T65" s="9"/>
      <c r="U65" s="10"/>
      <c r="V65" s="11"/>
      <c r="W65" s="11"/>
      <c r="X65" s="11"/>
      <c r="Y65" s="12" t="str">
        <f aca="false">IF(COUNT(V65:X65)=0,"",MAX(0,1-SUM(V65:X65)))</f>
        <v/>
      </c>
      <c r="Z65" s="13"/>
      <c r="AA65" s="9"/>
      <c r="AB65" s="7"/>
      <c r="AC65" s="7"/>
      <c r="AD65" s="7"/>
      <c r="AE65" s="7"/>
      <c r="AF65" s="14" t="str">
        <f aca="false">IF(D65="","",COUNTIF($D$2:D65,D65))</f>
        <v/>
      </c>
      <c r="AG65" s="15" t="str">
        <f aca="false" t="array" ref="AG65:AG65">IF(D65="","",IFERROR(MEDIAN(IF(($D$2:$D$401=D65)*($AF$2:$AF$401&gt;=AF65-5)*($AF$2:$AF$401&lt;=AF65-1)*($M$2:$M$401&lt;&gt;""),$M$2:$M$401)),""))</f>
        <v/>
      </c>
      <c r="AH65" s="16" t="str">
        <f aca="false">IF(AND(ISNUMBER(M65),ISNUMBER(AG65)),IF(AG65&gt;0,M65/AG65,""),"")</f>
        <v/>
      </c>
      <c r="AI65" s="15" t="str">
        <f aca="false" t="array" ref="AI65:AI65">IF(D65="","",IFERROR(MEDIAN(IF(($D$2:$D$401=D65)*($AF$2:$AF$401&gt;=AF65-5)*($AF$2:$AF$401&lt;=AF65-1)*($N$2:$N$401&lt;&gt;""),$N$2:$N$401)),""))</f>
        <v/>
      </c>
      <c r="AJ65" s="16" t="str">
        <f aca="false">IF(AND(ISNUMBER(N65),ISNUMBER(AI65)),IF(AI65&gt;0,N65/AI65,""),"")</f>
        <v/>
      </c>
      <c r="AK65" s="12" t="str">
        <f aca="false" t="array" ref="AK65:AK65">IF(D65="","",IFERROR(MEDIAN(IF(($D$2:$D$401=D65)*ISNUMBER($R$2:$R$401),$R$2:$R$401)),""))</f>
        <v/>
      </c>
      <c r="AL65" s="17" t="str">
        <f aca="false">IF(ISNUMBER(AJ65),IF(AND(AJ65&gt;=Resumen!$C$5,OR(NOT(ISNUMBER(R65)),NOT(ISNUMBER(AK65)),R65&gt;=AK65)),"Ganador",IF(AJ65&lt;=Resumen!$C$6,"Perdedor","Normal")),IF(ISNUMBER(AH65),IF(AH65&gt;=Resumen!$C$5,"Ganador (7 d, provisional)",IF(AH65&lt;=Resumen!$C$6,"Perdedor (7 d, provisional)","Normal (7 d, provisional)")),""))</f>
        <v/>
      </c>
      <c r="AM65" s="18" t="str">
        <f aca="false">IF(AND(ISNUMBER(Z65),ISNUMBER(N65)),IF(N65&gt;0,Z65/N65*1000,""),"")</f>
        <v/>
      </c>
      <c r="AN65" s="19" t="str">
        <f aca="false">IF(AND(ISNUMBER(U65),ISNUMBER(N65)),IF(N65&gt;0,U65/N65*1000,""),"")</f>
        <v/>
      </c>
    </row>
    <row r="66" customFormat="false" ht="15" hidden="false" customHeight="false" outlineLevel="0" collapsed="false">
      <c r="A66" s="7"/>
      <c r="B66" s="7"/>
      <c r="C66" s="8"/>
      <c r="D66" s="7"/>
      <c r="E66" s="7"/>
      <c r="F66" s="7"/>
      <c r="G66" s="7"/>
      <c r="H66" s="7"/>
      <c r="I66" s="7"/>
      <c r="J66" s="7"/>
      <c r="K66" s="9"/>
      <c r="L66" s="10"/>
      <c r="M66" s="10"/>
      <c r="N66" s="10"/>
      <c r="O66" s="10"/>
      <c r="P66" s="11"/>
      <c r="Q66" s="9"/>
      <c r="R66" s="12" t="str">
        <f aca="false">IF(AND(ISNUMBER(K66),ISNUMBER(Q66),K66&gt;0),Q66/K66,"")</f>
        <v/>
      </c>
      <c r="S66" s="11"/>
      <c r="T66" s="9"/>
      <c r="U66" s="10"/>
      <c r="V66" s="11"/>
      <c r="W66" s="11"/>
      <c r="X66" s="11"/>
      <c r="Y66" s="12" t="str">
        <f aca="false">IF(COUNT(V66:X66)=0,"",MAX(0,1-SUM(V66:X66)))</f>
        <v/>
      </c>
      <c r="Z66" s="13"/>
      <c r="AA66" s="9"/>
      <c r="AB66" s="7"/>
      <c r="AC66" s="7"/>
      <c r="AD66" s="7"/>
      <c r="AE66" s="7"/>
      <c r="AF66" s="14" t="str">
        <f aca="false">IF(D66="","",COUNTIF($D$2:D66,D66))</f>
        <v/>
      </c>
      <c r="AG66" s="15" t="str">
        <f aca="false" t="array" ref="AG66:AG66">IF(D66="","",IFERROR(MEDIAN(IF(($D$2:$D$401=D66)*($AF$2:$AF$401&gt;=AF66-5)*($AF$2:$AF$401&lt;=AF66-1)*($M$2:$M$401&lt;&gt;""),$M$2:$M$401)),""))</f>
        <v/>
      </c>
      <c r="AH66" s="16" t="str">
        <f aca="false">IF(AND(ISNUMBER(M66),ISNUMBER(AG66)),IF(AG66&gt;0,M66/AG66,""),"")</f>
        <v/>
      </c>
      <c r="AI66" s="15" t="str">
        <f aca="false" t="array" ref="AI66:AI66">IF(D66="","",IFERROR(MEDIAN(IF(($D$2:$D$401=D66)*($AF$2:$AF$401&gt;=AF66-5)*($AF$2:$AF$401&lt;=AF66-1)*($N$2:$N$401&lt;&gt;""),$N$2:$N$401)),""))</f>
        <v/>
      </c>
      <c r="AJ66" s="16" t="str">
        <f aca="false">IF(AND(ISNUMBER(N66),ISNUMBER(AI66)),IF(AI66&gt;0,N66/AI66,""),"")</f>
        <v/>
      </c>
      <c r="AK66" s="12" t="str">
        <f aca="false" t="array" ref="AK66:AK66">IF(D66="","",IFERROR(MEDIAN(IF(($D$2:$D$401=D66)*ISNUMBER($R$2:$R$401),$R$2:$R$401)),""))</f>
        <v/>
      </c>
      <c r="AL66" s="17" t="str">
        <f aca="false">IF(ISNUMBER(AJ66),IF(AND(AJ66&gt;=Resumen!$C$5,OR(NOT(ISNUMBER(R66)),NOT(ISNUMBER(AK66)),R66&gt;=AK66)),"Ganador",IF(AJ66&lt;=Resumen!$C$6,"Perdedor","Normal")),IF(ISNUMBER(AH66),IF(AH66&gt;=Resumen!$C$5,"Ganador (7 d, provisional)",IF(AH66&lt;=Resumen!$C$6,"Perdedor (7 d, provisional)","Normal (7 d, provisional)")),""))</f>
        <v/>
      </c>
      <c r="AM66" s="18" t="str">
        <f aca="false">IF(AND(ISNUMBER(Z66),ISNUMBER(N66)),IF(N66&gt;0,Z66/N66*1000,""),"")</f>
        <v/>
      </c>
      <c r="AN66" s="19" t="str">
        <f aca="false">IF(AND(ISNUMBER(U66),ISNUMBER(N66)),IF(N66&gt;0,U66/N66*1000,""),"")</f>
        <v/>
      </c>
    </row>
    <row r="67" customFormat="false" ht="15" hidden="false" customHeight="false" outlineLevel="0" collapsed="false">
      <c r="A67" s="7"/>
      <c r="B67" s="7"/>
      <c r="C67" s="8"/>
      <c r="D67" s="7"/>
      <c r="E67" s="7"/>
      <c r="F67" s="7"/>
      <c r="G67" s="7"/>
      <c r="H67" s="7"/>
      <c r="I67" s="7"/>
      <c r="J67" s="7"/>
      <c r="K67" s="9"/>
      <c r="L67" s="10"/>
      <c r="M67" s="10"/>
      <c r="N67" s="10"/>
      <c r="O67" s="10"/>
      <c r="P67" s="11"/>
      <c r="Q67" s="9"/>
      <c r="R67" s="12" t="str">
        <f aca="false">IF(AND(ISNUMBER(K67),ISNUMBER(Q67),K67&gt;0),Q67/K67,"")</f>
        <v/>
      </c>
      <c r="S67" s="11"/>
      <c r="T67" s="9"/>
      <c r="U67" s="10"/>
      <c r="V67" s="11"/>
      <c r="W67" s="11"/>
      <c r="X67" s="11"/>
      <c r="Y67" s="12" t="str">
        <f aca="false">IF(COUNT(V67:X67)=0,"",MAX(0,1-SUM(V67:X67)))</f>
        <v/>
      </c>
      <c r="Z67" s="13"/>
      <c r="AA67" s="9"/>
      <c r="AB67" s="7"/>
      <c r="AC67" s="7"/>
      <c r="AD67" s="7"/>
      <c r="AE67" s="7"/>
      <c r="AF67" s="14" t="str">
        <f aca="false">IF(D67="","",COUNTIF($D$2:D67,D67))</f>
        <v/>
      </c>
      <c r="AG67" s="15" t="str">
        <f aca="false" t="array" ref="AG67:AG67">IF(D67="","",IFERROR(MEDIAN(IF(($D$2:$D$401=D67)*($AF$2:$AF$401&gt;=AF67-5)*($AF$2:$AF$401&lt;=AF67-1)*($M$2:$M$401&lt;&gt;""),$M$2:$M$401)),""))</f>
        <v/>
      </c>
      <c r="AH67" s="16" t="str">
        <f aca="false">IF(AND(ISNUMBER(M67),ISNUMBER(AG67)),IF(AG67&gt;0,M67/AG67,""),"")</f>
        <v/>
      </c>
      <c r="AI67" s="15" t="str">
        <f aca="false" t="array" ref="AI67:AI67">IF(D67="","",IFERROR(MEDIAN(IF(($D$2:$D$401=D67)*($AF$2:$AF$401&gt;=AF67-5)*($AF$2:$AF$401&lt;=AF67-1)*($N$2:$N$401&lt;&gt;""),$N$2:$N$401)),""))</f>
        <v/>
      </c>
      <c r="AJ67" s="16" t="str">
        <f aca="false">IF(AND(ISNUMBER(N67),ISNUMBER(AI67)),IF(AI67&gt;0,N67/AI67,""),"")</f>
        <v/>
      </c>
      <c r="AK67" s="12" t="str">
        <f aca="false" t="array" ref="AK67:AK67">IF(D67="","",IFERROR(MEDIAN(IF(($D$2:$D$401=D67)*ISNUMBER($R$2:$R$401),$R$2:$R$401)),""))</f>
        <v/>
      </c>
      <c r="AL67" s="17" t="str">
        <f aca="false">IF(ISNUMBER(AJ67),IF(AND(AJ67&gt;=Resumen!$C$5,OR(NOT(ISNUMBER(R67)),NOT(ISNUMBER(AK67)),R67&gt;=AK67)),"Ganador",IF(AJ67&lt;=Resumen!$C$6,"Perdedor","Normal")),IF(ISNUMBER(AH67),IF(AH67&gt;=Resumen!$C$5,"Ganador (7 d, provisional)",IF(AH67&lt;=Resumen!$C$6,"Perdedor (7 d, provisional)","Normal (7 d, provisional)")),""))</f>
        <v/>
      </c>
      <c r="AM67" s="18" t="str">
        <f aca="false">IF(AND(ISNUMBER(Z67),ISNUMBER(N67)),IF(N67&gt;0,Z67/N67*1000,""),"")</f>
        <v/>
      </c>
      <c r="AN67" s="19" t="str">
        <f aca="false">IF(AND(ISNUMBER(U67),ISNUMBER(N67)),IF(N67&gt;0,U67/N67*1000,""),"")</f>
        <v/>
      </c>
    </row>
    <row r="68" customFormat="false" ht="15" hidden="false" customHeight="false" outlineLevel="0" collapsed="false">
      <c r="A68" s="7"/>
      <c r="B68" s="7"/>
      <c r="C68" s="8"/>
      <c r="D68" s="7"/>
      <c r="E68" s="7"/>
      <c r="F68" s="7"/>
      <c r="G68" s="7"/>
      <c r="H68" s="7"/>
      <c r="I68" s="7"/>
      <c r="J68" s="7"/>
      <c r="K68" s="9"/>
      <c r="L68" s="10"/>
      <c r="M68" s="10"/>
      <c r="N68" s="10"/>
      <c r="O68" s="10"/>
      <c r="P68" s="11"/>
      <c r="Q68" s="9"/>
      <c r="R68" s="12" t="str">
        <f aca="false">IF(AND(ISNUMBER(K68),ISNUMBER(Q68),K68&gt;0),Q68/K68,"")</f>
        <v/>
      </c>
      <c r="S68" s="11"/>
      <c r="T68" s="9"/>
      <c r="U68" s="10"/>
      <c r="V68" s="11"/>
      <c r="W68" s="11"/>
      <c r="X68" s="11"/>
      <c r="Y68" s="12" t="str">
        <f aca="false">IF(COUNT(V68:X68)=0,"",MAX(0,1-SUM(V68:X68)))</f>
        <v/>
      </c>
      <c r="Z68" s="13"/>
      <c r="AA68" s="9"/>
      <c r="AB68" s="7"/>
      <c r="AC68" s="7"/>
      <c r="AD68" s="7"/>
      <c r="AE68" s="7"/>
      <c r="AF68" s="14" t="str">
        <f aca="false">IF(D68="","",COUNTIF($D$2:D68,D68))</f>
        <v/>
      </c>
      <c r="AG68" s="15" t="str">
        <f aca="false" t="array" ref="AG68:AG68">IF(D68="","",IFERROR(MEDIAN(IF(($D$2:$D$401=D68)*($AF$2:$AF$401&gt;=AF68-5)*($AF$2:$AF$401&lt;=AF68-1)*($M$2:$M$401&lt;&gt;""),$M$2:$M$401)),""))</f>
        <v/>
      </c>
      <c r="AH68" s="16" t="str">
        <f aca="false">IF(AND(ISNUMBER(M68),ISNUMBER(AG68)),IF(AG68&gt;0,M68/AG68,""),"")</f>
        <v/>
      </c>
      <c r="AI68" s="15" t="str">
        <f aca="false" t="array" ref="AI68:AI68">IF(D68="","",IFERROR(MEDIAN(IF(($D$2:$D$401=D68)*($AF$2:$AF$401&gt;=AF68-5)*($AF$2:$AF$401&lt;=AF68-1)*($N$2:$N$401&lt;&gt;""),$N$2:$N$401)),""))</f>
        <v/>
      </c>
      <c r="AJ68" s="16" t="str">
        <f aca="false">IF(AND(ISNUMBER(N68),ISNUMBER(AI68)),IF(AI68&gt;0,N68/AI68,""),"")</f>
        <v/>
      </c>
      <c r="AK68" s="12" t="str">
        <f aca="false" t="array" ref="AK68:AK68">IF(D68="","",IFERROR(MEDIAN(IF(($D$2:$D$401=D68)*ISNUMBER($R$2:$R$401),$R$2:$R$401)),""))</f>
        <v/>
      </c>
      <c r="AL68" s="17" t="str">
        <f aca="false">IF(ISNUMBER(AJ68),IF(AND(AJ68&gt;=Resumen!$C$5,OR(NOT(ISNUMBER(R68)),NOT(ISNUMBER(AK68)),R68&gt;=AK68)),"Ganador",IF(AJ68&lt;=Resumen!$C$6,"Perdedor","Normal")),IF(ISNUMBER(AH68),IF(AH68&gt;=Resumen!$C$5,"Ganador (7 d, provisional)",IF(AH68&lt;=Resumen!$C$6,"Perdedor (7 d, provisional)","Normal (7 d, provisional)")),""))</f>
        <v/>
      </c>
      <c r="AM68" s="18" t="str">
        <f aca="false">IF(AND(ISNUMBER(Z68),ISNUMBER(N68)),IF(N68&gt;0,Z68/N68*1000,""),"")</f>
        <v/>
      </c>
      <c r="AN68" s="19" t="str">
        <f aca="false">IF(AND(ISNUMBER(U68),ISNUMBER(N68)),IF(N68&gt;0,U68/N68*1000,""),"")</f>
        <v/>
      </c>
    </row>
    <row r="69" customFormat="false" ht="15" hidden="false" customHeight="false" outlineLevel="0" collapsed="false">
      <c r="A69" s="7"/>
      <c r="B69" s="7"/>
      <c r="C69" s="8"/>
      <c r="D69" s="7"/>
      <c r="E69" s="7"/>
      <c r="F69" s="7"/>
      <c r="G69" s="7"/>
      <c r="H69" s="7"/>
      <c r="I69" s="7"/>
      <c r="J69" s="7"/>
      <c r="K69" s="9"/>
      <c r="L69" s="10"/>
      <c r="M69" s="10"/>
      <c r="N69" s="10"/>
      <c r="O69" s="10"/>
      <c r="P69" s="11"/>
      <c r="Q69" s="9"/>
      <c r="R69" s="12" t="str">
        <f aca="false">IF(AND(ISNUMBER(K69),ISNUMBER(Q69),K69&gt;0),Q69/K69,"")</f>
        <v/>
      </c>
      <c r="S69" s="11"/>
      <c r="T69" s="9"/>
      <c r="U69" s="10"/>
      <c r="V69" s="11"/>
      <c r="W69" s="11"/>
      <c r="X69" s="11"/>
      <c r="Y69" s="12" t="str">
        <f aca="false">IF(COUNT(V69:X69)=0,"",MAX(0,1-SUM(V69:X69)))</f>
        <v/>
      </c>
      <c r="Z69" s="13"/>
      <c r="AA69" s="9"/>
      <c r="AB69" s="7"/>
      <c r="AC69" s="7"/>
      <c r="AD69" s="7"/>
      <c r="AE69" s="7"/>
      <c r="AF69" s="14" t="str">
        <f aca="false">IF(D69="","",COUNTIF($D$2:D69,D69))</f>
        <v/>
      </c>
      <c r="AG69" s="15" t="str">
        <f aca="false" t="array" ref="AG69:AG69">IF(D69="","",IFERROR(MEDIAN(IF(($D$2:$D$401=D69)*($AF$2:$AF$401&gt;=AF69-5)*($AF$2:$AF$401&lt;=AF69-1)*($M$2:$M$401&lt;&gt;""),$M$2:$M$401)),""))</f>
        <v/>
      </c>
      <c r="AH69" s="16" t="str">
        <f aca="false">IF(AND(ISNUMBER(M69),ISNUMBER(AG69)),IF(AG69&gt;0,M69/AG69,""),"")</f>
        <v/>
      </c>
      <c r="AI69" s="15" t="str">
        <f aca="false" t="array" ref="AI69:AI69">IF(D69="","",IFERROR(MEDIAN(IF(($D$2:$D$401=D69)*($AF$2:$AF$401&gt;=AF69-5)*($AF$2:$AF$401&lt;=AF69-1)*($N$2:$N$401&lt;&gt;""),$N$2:$N$401)),""))</f>
        <v/>
      </c>
      <c r="AJ69" s="16" t="str">
        <f aca="false">IF(AND(ISNUMBER(N69),ISNUMBER(AI69)),IF(AI69&gt;0,N69/AI69,""),"")</f>
        <v/>
      </c>
      <c r="AK69" s="12" t="str">
        <f aca="false" t="array" ref="AK69:AK69">IF(D69="","",IFERROR(MEDIAN(IF(($D$2:$D$401=D69)*ISNUMBER($R$2:$R$401),$R$2:$R$401)),""))</f>
        <v/>
      </c>
      <c r="AL69" s="17" t="str">
        <f aca="false">IF(ISNUMBER(AJ69),IF(AND(AJ69&gt;=Resumen!$C$5,OR(NOT(ISNUMBER(R69)),NOT(ISNUMBER(AK69)),R69&gt;=AK69)),"Ganador",IF(AJ69&lt;=Resumen!$C$6,"Perdedor","Normal")),IF(ISNUMBER(AH69),IF(AH69&gt;=Resumen!$C$5,"Ganador (7 d, provisional)",IF(AH69&lt;=Resumen!$C$6,"Perdedor (7 d, provisional)","Normal (7 d, provisional)")),""))</f>
        <v/>
      </c>
      <c r="AM69" s="18" t="str">
        <f aca="false">IF(AND(ISNUMBER(Z69),ISNUMBER(N69)),IF(N69&gt;0,Z69/N69*1000,""),"")</f>
        <v/>
      </c>
      <c r="AN69" s="19" t="str">
        <f aca="false">IF(AND(ISNUMBER(U69),ISNUMBER(N69)),IF(N69&gt;0,U69/N69*1000,""),"")</f>
        <v/>
      </c>
    </row>
    <row r="70" customFormat="false" ht="15" hidden="false" customHeight="false" outlineLevel="0" collapsed="false">
      <c r="A70" s="7"/>
      <c r="B70" s="7"/>
      <c r="C70" s="8"/>
      <c r="D70" s="7"/>
      <c r="E70" s="7"/>
      <c r="F70" s="7"/>
      <c r="G70" s="7"/>
      <c r="H70" s="7"/>
      <c r="I70" s="7"/>
      <c r="J70" s="7"/>
      <c r="K70" s="9"/>
      <c r="L70" s="10"/>
      <c r="M70" s="10"/>
      <c r="N70" s="10"/>
      <c r="O70" s="10"/>
      <c r="P70" s="11"/>
      <c r="Q70" s="9"/>
      <c r="R70" s="12" t="str">
        <f aca="false">IF(AND(ISNUMBER(K70),ISNUMBER(Q70),K70&gt;0),Q70/K70,"")</f>
        <v/>
      </c>
      <c r="S70" s="11"/>
      <c r="T70" s="9"/>
      <c r="U70" s="10"/>
      <c r="V70" s="11"/>
      <c r="W70" s="11"/>
      <c r="X70" s="11"/>
      <c r="Y70" s="12" t="str">
        <f aca="false">IF(COUNT(V70:X70)=0,"",MAX(0,1-SUM(V70:X70)))</f>
        <v/>
      </c>
      <c r="Z70" s="13"/>
      <c r="AA70" s="9"/>
      <c r="AB70" s="7"/>
      <c r="AC70" s="7"/>
      <c r="AD70" s="7"/>
      <c r="AE70" s="7"/>
      <c r="AF70" s="14" t="str">
        <f aca="false">IF(D70="","",COUNTIF($D$2:D70,D70))</f>
        <v/>
      </c>
      <c r="AG70" s="15" t="str">
        <f aca="false" t="array" ref="AG70:AG70">IF(D70="","",IFERROR(MEDIAN(IF(($D$2:$D$401=D70)*($AF$2:$AF$401&gt;=AF70-5)*($AF$2:$AF$401&lt;=AF70-1)*($M$2:$M$401&lt;&gt;""),$M$2:$M$401)),""))</f>
        <v/>
      </c>
      <c r="AH70" s="16" t="str">
        <f aca="false">IF(AND(ISNUMBER(M70),ISNUMBER(AG70)),IF(AG70&gt;0,M70/AG70,""),"")</f>
        <v/>
      </c>
      <c r="AI70" s="15" t="str">
        <f aca="false" t="array" ref="AI70:AI70">IF(D70="","",IFERROR(MEDIAN(IF(($D$2:$D$401=D70)*($AF$2:$AF$401&gt;=AF70-5)*($AF$2:$AF$401&lt;=AF70-1)*($N$2:$N$401&lt;&gt;""),$N$2:$N$401)),""))</f>
        <v/>
      </c>
      <c r="AJ70" s="16" t="str">
        <f aca="false">IF(AND(ISNUMBER(N70),ISNUMBER(AI70)),IF(AI70&gt;0,N70/AI70,""),"")</f>
        <v/>
      </c>
      <c r="AK70" s="12" t="str">
        <f aca="false" t="array" ref="AK70:AK70">IF(D70="","",IFERROR(MEDIAN(IF(($D$2:$D$401=D70)*ISNUMBER($R$2:$R$401),$R$2:$R$401)),""))</f>
        <v/>
      </c>
      <c r="AL70" s="17" t="str">
        <f aca="false">IF(ISNUMBER(AJ70),IF(AND(AJ70&gt;=Resumen!$C$5,OR(NOT(ISNUMBER(R70)),NOT(ISNUMBER(AK70)),R70&gt;=AK70)),"Ganador",IF(AJ70&lt;=Resumen!$C$6,"Perdedor","Normal")),IF(ISNUMBER(AH70),IF(AH70&gt;=Resumen!$C$5,"Ganador (7 d, provisional)",IF(AH70&lt;=Resumen!$C$6,"Perdedor (7 d, provisional)","Normal (7 d, provisional)")),""))</f>
        <v/>
      </c>
      <c r="AM70" s="18" t="str">
        <f aca="false">IF(AND(ISNUMBER(Z70),ISNUMBER(N70)),IF(N70&gt;0,Z70/N70*1000,""),"")</f>
        <v/>
      </c>
      <c r="AN70" s="19" t="str">
        <f aca="false">IF(AND(ISNUMBER(U70),ISNUMBER(N70)),IF(N70&gt;0,U70/N70*1000,""),"")</f>
        <v/>
      </c>
    </row>
    <row r="71" customFormat="false" ht="15" hidden="false" customHeight="false" outlineLevel="0" collapsed="false">
      <c r="A71" s="7"/>
      <c r="B71" s="7"/>
      <c r="C71" s="8"/>
      <c r="D71" s="7"/>
      <c r="E71" s="7"/>
      <c r="F71" s="7"/>
      <c r="G71" s="7"/>
      <c r="H71" s="7"/>
      <c r="I71" s="7"/>
      <c r="J71" s="7"/>
      <c r="K71" s="9"/>
      <c r="L71" s="10"/>
      <c r="M71" s="10"/>
      <c r="N71" s="10"/>
      <c r="O71" s="10"/>
      <c r="P71" s="11"/>
      <c r="Q71" s="9"/>
      <c r="R71" s="12" t="str">
        <f aca="false">IF(AND(ISNUMBER(K71),ISNUMBER(Q71),K71&gt;0),Q71/K71,"")</f>
        <v/>
      </c>
      <c r="S71" s="11"/>
      <c r="T71" s="9"/>
      <c r="U71" s="10"/>
      <c r="V71" s="11"/>
      <c r="W71" s="11"/>
      <c r="X71" s="11"/>
      <c r="Y71" s="12" t="str">
        <f aca="false">IF(COUNT(V71:X71)=0,"",MAX(0,1-SUM(V71:X71)))</f>
        <v/>
      </c>
      <c r="Z71" s="13"/>
      <c r="AA71" s="9"/>
      <c r="AB71" s="7"/>
      <c r="AC71" s="7"/>
      <c r="AD71" s="7"/>
      <c r="AE71" s="7"/>
      <c r="AF71" s="14" t="str">
        <f aca="false">IF(D71="","",COUNTIF($D$2:D71,D71))</f>
        <v/>
      </c>
      <c r="AG71" s="15" t="str">
        <f aca="false" t="array" ref="AG71:AG71">IF(D71="","",IFERROR(MEDIAN(IF(($D$2:$D$401=D71)*($AF$2:$AF$401&gt;=AF71-5)*($AF$2:$AF$401&lt;=AF71-1)*($M$2:$M$401&lt;&gt;""),$M$2:$M$401)),""))</f>
        <v/>
      </c>
      <c r="AH71" s="16" t="str">
        <f aca="false">IF(AND(ISNUMBER(M71),ISNUMBER(AG71)),IF(AG71&gt;0,M71/AG71,""),"")</f>
        <v/>
      </c>
      <c r="AI71" s="15" t="str">
        <f aca="false" t="array" ref="AI71:AI71">IF(D71="","",IFERROR(MEDIAN(IF(($D$2:$D$401=D71)*($AF$2:$AF$401&gt;=AF71-5)*($AF$2:$AF$401&lt;=AF71-1)*($N$2:$N$401&lt;&gt;""),$N$2:$N$401)),""))</f>
        <v/>
      </c>
      <c r="AJ71" s="16" t="str">
        <f aca="false">IF(AND(ISNUMBER(N71),ISNUMBER(AI71)),IF(AI71&gt;0,N71/AI71,""),"")</f>
        <v/>
      </c>
      <c r="AK71" s="12" t="str">
        <f aca="false" t="array" ref="AK71:AK71">IF(D71="","",IFERROR(MEDIAN(IF(($D$2:$D$401=D71)*ISNUMBER($R$2:$R$401),$R$2:$R$401)),""))</f>
        <v/>
      </c>
      <c r="AL71" s="17" t="str">
        <f aca="false">IF(ISNUMBER(AJ71),IF(AND(AJ71&gt;=Resumen!$C$5,OR(NOT(ISNUMBER(R71)),NOT(ISNUMBER(AK71)),R71&gt;=AK71)),"Ganador",IF(AJ71&lt;=Resumen!$C$6,"Perdedor","Normal")),IF(ISNUMBER(AH71),IF(AH71&gt;=Resumen!$C$5,"Ganador (7 d, provisional)",IF(AH71&lt;=Resumen!$C$6,"Perdedor (7 d, provisional)","Normal (7 d, provisional)")),""))</f>
        <v/>
      </c>
      <c r="AM71" s="18" t="str">
        <f aca="false">IF(AND(ISNUMBER(Z71),ISNUMBER(N71)),IF(N71&gt;0,Z71/N71*1000,""),"")</f>
        <v/>
      </c>
      <c r="AN71" s="19" t="str">
        <f aca="false">IF(AND(ISNUMBER(U71),ISNUMBER(N71)),IF(N71&gt;0,U71/N71*1000,""),"")</f>
        <v/>
      </c>
    </row>
    <row r="72" customFormat="false" ht="15" hidden="false" customHeight="false" outlineLevel="0" collapsed="false">
      <c r="A72" s="7"/>
      <c r="B72" s="7"/>
      <c r="C72" s="8"/>
      <c r="D72" s="7"/>
      <c r="E72" s="7"/>
      <c r="F72" s="7"/>
      <c r="G72" s="7"/>
      <c r="H72" s="7"/>
      <c r="I72" s="7"/>
      <c r="J72" s="7"/>
      <c r="K72" s="9"/>
      <c r="L72" s="10"/>
      <c r="M72" s="10"/>
      <c r="N72" s="10"/>
      <c r="O72" s="10"/>
      <c r="P72" s="11"/>
      <c r="Q72" s="9"/>
      <c r="R72" s="12" t="str">
        <f aca="false">IF(AND(ISNUMBER(K72),ISNUMBER(Q72),K72&gt;0),Q72/K72,"")</f>
        <v/>
      </c>
      <c r="S72" s="11"/>
      <c r="T72" s="9"/>
      <c r="U72" s="10"/>
      <c r="V72" s="11"/>
      <c r="W72" s="11"/>
      <c r="X72" s="11"/>
      <c r="Y72" s="12" t="str">
        <f aca="false">IF(COUNT(V72:X72)=0,"",MAX(0,1-SUM(V72:X72)))</f>
        <v/>
      </c>
      <c r="Z72" s="13"/>
      <c r="AA72" s="9"/>
      <c r="AB72" s="7"/>
      <c r="AC72" s="7"/>
      <c r="AD72" s="7"/>
      <c r="AE72" s="7"/>
      <c r="AF72" s="14" t="str">
        <f aca="false">IF(D72="","",COUNTIF($D$2:D72,D72))</f>
        <v/>
      </c>
      <c r="AG72" s="15" t="str">
        <f aca="false" t="array" ref="AG72:AG72">IF(D72="","",IFERROR(MEDIAN(IF(($D$2:$D$401=D72)*($AF$2:$AF$401&gt;=AF72-5)*($AF$2:$AF$401&lt;=AF72-1)*($M$2:$M$401&lt;&gt;""),$M$2:$M$401)),""))</f>
        <v/>
      </c>
      <c r="AH72" s="16" t="str">
        <f aca="false">IF(AND(ISNUMBER(M72),ISNUMBER(AG72)),IF(AG72&gt;0,M72/AG72,""),"")</f>
        <v/>
      </c>
      <c r="AI72" s="15" t="str">
        <f aca="false" t="array" ref="AI72:AI72">IF(D72="","",IFERROR(MEDIAN(IF(($D$2:$D$401=D72)*($AF$2:$AF$401&gt;=AF72-5)*($AF$2:$AF$401&lt;=AF72-1)*($N$2:$N$401&lt;&gt;""),$N$2:$N$401)),""))</f>
        <v/>
      </c>
      <c r="AJ72" s="16" t="str">
        <f aca="false">IF(AND(ISNUMBER(N72),ISNUMBER(AI72)),IF(AI72&gt;0,N72/AI72,""),"")</f>
        <v/>
      </c>
      <c r="AK72" s="12" t="str">
        <f aca="false" t="array" ref="AK72:AK72">IF(D72="","",IFERROR(MEDIAN(IF(($D$2:$D$401=D72)*ISNUMBER($R$2:$R$401),$R$2:$R$401)),""))</f>
        <v/>
      </c>
      <c r="AL72" s="17" t="str">
        <f aca="false">IF(ISNUMBER(AJ72),IF(AND(AJ72&gt;=Resumen!$C$5,OR(NOT(ISNUMBER(R72)),NOT(ISNUMBER(AK72)),R72&gt;=AK72)),"Ganador",IF(AJ72&lt;=Resumen!$C$6,"Perdedor","Normal")),IF(ISNUMBER(AH72),IF(AH72&gt;=Resumen!$C$5,"Ganador (7 d, provisional)",IF(AH72&lt;=Resumen!$C$6,"Perdedor (7 d, provisional)","Normal (7 d, provisional)")),""))</f>
        <v/>
      </c>
      <c r="AM72" s="18" t="str">
        <f aca="false">IF(AND(ISNUMBER(Z72),ISNUMBER(N72)),IF(N72&gt;0,Z72/N72*1000,""),"")</f>
        <v/>
      </c>
      <c r="AN72" s="19" t="str">
        <f aca="false">IF(AND(ISNUMBER(U72),ISNUMBER(N72)),IF(N72&gt;0,U72/N72*1000,""),"")</f>
        <v/>
      </c>
    </row>
    <row r="73" customFormat="false" ht="15" hidden="false" customHeight="false" outlineLevel="0" collapsed="false">
      <c r="A73" s="7"/>
      <c r="B73" s="7"/>
      <c r="C73" s="8"/>
      <c r="D73" s="7"/>
      <c r="E73" s="7"/>
      <c r="F73" s="7"/>
      <c r="G73" s="7"/>
      <c r="H73" s="7"/>
      <c r="I73" s="7"/>
      <c r="J73" s="7"/>
      <c r="K73" s="9"/>
      <c r="L73" s="10"/>
      <c r="M73" s="10"/>
      <c r="N73" s="10"/>
      <c r="O73" s="10"/>
      <c r="P73" s="11"/>
      <c r="Q73" s="9"/>
      <c r="R73" s="12" t="str">
        <f aca="false">IF(AND(ISNUMBER(K73),ISNUMBER(Q73),K73&gt;0),Q73/K73,"")</f>
        <v/>
      </c>
      <c r="S73" s="11"/>
      <c r="T73" s="9"/>
      <c r="U73" s="10"/>
      <c r="V73" s="11"/>
      <c r="W73" s="11"/>
      <c r="X73" s="11"/>
      <c r="Y73" s="12" t="str">
        <f aca="false">IF(COUNT(V73:X73)=0,"",MAX(0,1-SUM(V73:X73)))</f>
        <v/>
      </c>
      <c r="Z73" s="13"/>
      <c r="AA73" s="9"/>
      <c r="AB73" s="7"/>
      <c r="AC73" s="7"/>
      <c r="AD73" s="7"/>
      <c r="AE73" s="7"/>
      <c r="AF73" s="14" t="str">
        <f aca="false">IF(D73="","",COUNTIF($D$2:D73,D73))</f>
        <v/>
      </c>
      <c r="AG73" s="15" t="str">
        <f aca="false" t="array" ref="AG73:AG73">IF(D73="","",IFERROR(MEDIAN(IF(($D$2:$D$401=D73)*($AF$2:$AF$401&gt;=AF73-5)*($AF$2:$AF$401&lt;=AF73-1)*($M$2:$M$401&lt;&gt;""),$M$2:$M$401)),""))</f>
        <v/>
      </c>
      <c r="AH73" s="16" t="str">
        <f aca="false">IF(AND(ISNUMBER(M73),ISNUMBER(AG73)),IF(AG73&gt;0,M73/AG73,""),"")</f>
        <v/>
      </c>
      <c r="AI73" s="15" t="str">
        <f aca="false" t="array" ref="AI73:AI73">IF(D73="","",IFERROR(MEDIAN(IF(($D$2:$D$401=D73)*($AF$2:$AF$401&gt;=AF73-5)*($AF$2:$AF$401&lt;=AF73-1)*($N$2:$N$401&lt;&gt;""),$N$2:$N$401)),""))</f>
        <v/>
      </c>
      <c r="AJ73" s="16" t="str">
        <f aca="false">IF(AND(ISNUMBER(N73),ISNUMBER(AI73)),IF(AI73&gt;0,N73/AI73,""),"")</f>
        <v/>
      </c>
      <c r="AK73" s="12" t="str">
        <f aca="false" t="array" ref="AK73:AK73">IF(D73="","",IFERROR(MEDIAN(IF(($D$2:$D$401=D73)*ISNUMBER($R$2:$R$401),$R$2:$R$401)),""))</f>
        <v/>
      </c>
      <c r="AL73" s="17" t="str">
        <f aca="false">IF(ISNUMBER(AJ73),IF(AND(AJ73&gt;=Resumen!$C$5,OR(NOT(ISNUMBER(R73)),NOT(ISNUMBER(AK73)),R73&gt;=AK73)),"Ganador",IF(AJ73&lt;=Resumen!$C$6,"Perdedor","Normal")),IF(ISNUMBER(AH73),IF(AH73&gt;=Resumen!$C$5,"Ganador (7 d, provisional)",IF(AH73&lt;=Resumen!$C$6,"Perdedor (7 d, provisional)","Normal (7 d, provisional)")),""))</f>
        <v/>
      </c>
      <c r="AM73" s="18" t="str">
        <f aca="false">IF(AND(ISNUMBER(Z73),ISNUMBER(N73)),IF(N73&gt;0,Z73/N73*1000,""),"")</f>
        <v/>
      </c>
      <c r="AN73" s="19" t="str">
        <f aca="false">IF(AND(ISNUMBER(U73),ISNUMBER(N73)),IF(N73&gt;0,U73/N73*1000,""),"")</f>
        <v/>
      </c>
    </row>
    <row r="74" customFormat="false" ht="15" hidden="false" customHeight="false" outlineLevel="0" collapsed="false">
      <c r="A74" s="7"/>
      <c r="B74" s="7"/>
      <c r="C74" s="8"/>
      <c r="D74" s="7"/>
      <c r="E74" s="7"/>
      <c r="F74" s="7"/>
      <c r="G74" s="7"/>
      <c r="H74" s="7"/>
      <c r="I74" s="7"/>
      <c r="J74" s="7"/>
      <c r="K74" s="9"/>
      <c r="L74" s="10"/>
      <c r="M74" s="10"/>
      <c r="N74" s="10"/>
      <c r="O74" s="10"/>
      <c r="P74" s="11"/>
      <c r="Q74" s="9"/>
      <c r="R74" s="12" t="str">
        <f aca="false">IF(AND(ISNUMBER(K74),ISNUMBER(Q74),K74&gt;0),Q74/K74,"")</f>
        <v/>
      </c>
      <c r="S74" s="11"/>
      <c r="T74" s="9"/>
      <c r="U74" s="10"/>
      <c r="V74" s="11"/>
      <c r="W74" s="11"/>
      <c r="X74" s="11"/>
      <c r="Y74" s="12" t="str">
        <f aca="false">IF(COUNT(V74:X74)=0,"",MAX(0,1-SUM(V74:X74)))</f>
        <v/>
      </c>
      <c r="Z74" s="13"/>
      <c r="AA74" s="9"/>
      <c r="AB74" s="7"/>
      <c r="AC74" s="7"/>
      <c r="AD74" s="7"/>
      <c r="AE74" s="7"/>
      <c r="AF74" s="14" t="str">
        <f aca="false">IF(D74="","",COUNTIF($D$2:D74,D74))</f>
        <v/>
      </c>
      <c r="AG74" s="15" t="str">
        <f aca="false" t="array" ref="AG74:AG74">IF(D74="","",IFERROR(MEDIAN(IF(($D$2:$D$401=D74)*($AF$2:$AF$401&gt;=AF74-5)*($AF$2:$AF$401&lt;=AF74-1)*($M$2:$M$401&lt;&gt;""),$M$2:$M$401)),""))</f>
        <v/>
      </c>
      <c r="AH74" s="16" t="str">
        <f aca="false">IF(AND(ISNUMBER(M74),ISNUMBER(AG74)),IF(AG74&gt;0,M74/AG74,""),"")</f>
        <v/>
      </c>
      <c r="AI74" s="15" t="str">
        <f aca="false" t="array" ref="AI74:AI74">IF(D74="","",IFERROR(MEDIAN(IF(($D$2:$D$401=D74)*($AF$2:$AF$401&gt;=AF74-5)*($AF$2:$AF$401&lt;=AF74-1)*($N$2:$N$401&lt;&gt;""),$N$2:$N$401)),""))</f>
        <v/>
      </c>
      <c r="AJ74" s="16" t="str">
        <f aca="false">IF(AND(ISNUMBER(N74),ISNUMBER(AI74)),IF(AI74&gt;0,N74/AI74,""),"")</f>
        <v/>
      </c>
      <c r="AK74" s="12" t="str">
        <f aca="false" t="array" ref="AK74:AK74">IF(D74="","",IFERROR(MEDIAN(IF(($D$2:$D$401=D74)*ISNUMBER($R$2:$R$401),$R$2:$R$401)),""))</f>
        <v/>
      </c>
      <c r="AL74" s="17" t="str">
        <f aca="false">IF(ISNUMBER(AJ74),IF(AND(AJ74&gt;=Resumen!$C$5,OR(NOT(ISNUMBER(R74)),NOT(ISNUMBER(AK74)),R74&gt;=AK74)),"Ganador",IF(AJ74&lt;=Resumen!$C$6,"Perdedor","Normal")),IF(ISNUMBER(AH74),IF(AH74&gt;=Resumen!$C$5,"Ganador (7 d, provisional)",IF(AH74&lt;=Resumen!$C$6,"Perdedor (7 d, provisional)","Normal (7 d, provisional)")),""))</f>
        <v/>
      </c>
      <c r="AM74" s="18" t="str">
        <f aca="false">IF(AND(ISNUMBER(Z74),ISNUMBER(N74)),IF(N74&gt;0,Z74/N74*1000,""),"")</f>
        <v/>
      </c>
      <c r="AN74" s="19" t="str">
        <f aca="false">IF(AND(ISNUMBER(U74),ISNUMBER(N74)),IF(N74&gt;0,U74/N74*1000,""),"")</f>
        <v/>
      </c>
    </row>
    <row r="75" customFormat="false" ht="15" hidden="false" customHeight="false" outlineLevel="0" collapsed="false">
      <c r="A75" s="7"/>
      <c r="B75" s="7"/>
      <c r="C75" s="8"/>
      <c r="D75" s="7"/>
      <c r="E75" s="7"/>
      <c r="F75" s="7"/>
      <c r="G75" s="7"/>
      <c r="H75" s="7"/>
      <c r="I75" s="7"/>
      <c r="J75" s="7"/>
      <c r="K75" s="9"/>
      <c r="L75" s="10"/>
      <c r="M75" s="10"/>
      <c r="N75" s="10"/>
      <c r="O75" s="10"/>
      <c r="P75" s="11"/>
      <c r="Q75" s="9"/>
      <c r="R75" s="12" t="str">
        <f aca="false">IF(AND(ISNUMBER(K75),ISNUMBER(Q75),K75&gt;0),Q75/K75,"")</f>
        <v/>
      </c>
      <c r="S75" s="11"/>
      <c r="T75" s="9"/>
      <c r="U75" s="10"/>
      <c r="V75" s="11"/>
      <c r="W75" s="11"/>
      <c r="X75" s="11"/>
      <c r="Y75" s="12" t="str">
        <f aca="false">IF(COUNT(V75:X75)=0,"",MAX(0,1-SUM(V75:X75)))</f>
        <v/>
      </c>
      <c r="Z75" s="13"/>
      <c r="AA75" s="9"/>
      <c r="AB75" s="7"/>
      <c r="AC75" s="7"/>
      <c r="AD75" s="7"/>
      <c r="AE75" s="7"/>
      <c r="AF75" s="14" t="str">
        <f aca="false">IF(D75="","",COUNTIF($D$2:D75,D75))</f>
        <v/>
      </c>
      <c r="AG75" s="15" t="str">
        <f aca="false" t="array" ref="AG75:AG75">IF(D75="","",IFERROR(MEDIAN(IF(($D$2:$D$401=D75)*($AF$2:$AF$401&gt;=AF75-5)*($AF$2:$AF$401&lt;=AF75-1)*($M$2:$M$401&lt;&gt;""),$M$2:$M$401)),""))</f>
        <v/>
      </c>
      <c r="AH75" s="16" t="str">
        <f aca="false">IF(AND(ISNUMBER(M75),ISNUMBER(AG75)),IF(AG75&gt;0,M75/AG75,""),"")</f>
        <v/>
      </c>
      <c r="AI75" s="15" t="str">
        <f aca="false" t="array" ref="AI75:AI75">IF(D75="","",IFERROR(MEDIAN(IF(($D$2:$D$401=D75)*($AF$2:$AF$401&gt;=AF75-5)*($AF$2:$AF$401&lt;=AF75-1)*($N$2:$N$401&lt;&gt;""),$N$2:$N$401)),""))</f>
        <v/>
      </c>
      <c r="AJ75" s="16" t="str">
        <f aca="false">IF(AND(ISNUMBER(N75),ISNUMBER(AI75)),IF(AI75&gt;0,N75/AI75,""),"")</f>
        <v/>
      </c>
      <c r="AK75" s="12" t="str">
        <f aca="false" t="array" ref="AK75:AK75">IF(D75="","",IFERROR(MEDIAN(IF(($D$2:$D$401=D75)*ISNUMBER($R$2:$R$401),$R$2:$R$401)),""))</f>
        <v/>
      </c>
      <c r="AL75" s="17" t="str">
        <f aca="false">IF(ISNUMBER(AJ75),IF(AND(AJ75&gt;=Resumen!$C$5,OR(NOT(ISNUMBER(R75)),NOT(ISNUMBER(AK75)),R75&gt;=AK75)),"Ganador",IF(AJ75&lt;=Resumen!$C$6,"Perdedor","Normal")),IF(ISNUMBER(AH75),IF(AH75&gt;=Resumen!$C$5,"Ganador (7 d, provisional)",IF(AH75&lt;=Resumen!$C$6,"Perdedor (7 d, provisional)","Normal (7 d, provisional)")),""))</f>
        <v/>
      </c>
      <c r="AM75" s="18" t="str">
        <f aca="false">IF(AND(ISNUMBER(Z75),ISNUMBER(N75)),IF(N75&gt;0,Z75/N75*1000,""),"")</f>
        <v/>
      </c>
      <c r="AN75" s="19" t="str">
        <f aca="false">IF(AND(ISNUMBER(U75),ISNUMBER(N75)),IF(N75&gt;0,U75/N75*1000,""),"")</f>
        <v/>
      </c>
    </row>
    <row r="76" customFormat="false" ht="15" hidden="false" customHeight="false" outlineLevel="0" collapsed="false">
      <c r="A76" s="7"/>
      <c r="B76" s="7"/>
      <c r="C76" s="8"/>
      <c r="D76" s="7"/>
      <c r="E76" s="7"/>
      <c r="F76" s="7"/>
      <c r="G76" s="7"/>
      <c r="H76" s="7"/>
      <c r="I76" s="7"/>
      <c r="J76" s="7"/>
      <c r="K76" s="9"/>
      <c r="L76" s="10"/>
      <c r="M76" s="10"/>
      <c r="N76" s="10"/>
      <c r="O76" s="10"/>
      <c r="P76" s="11"/>
      <c r="Q76" s="9"/>
      <c r="R76" s="12" t="str">
        <f aca="false">IF(AND(ISNUMBER(K76),ISNUMBER(Q76),K76&gt;0),Q76/K76,"")</f>
        <v/>
      </c>
      <c r="S76" s="11"/>
      <c r="T76" s="9"/>
      <c r="U76" s="10"/>
      <c r="V76" s="11"/>
      <c r="W76" s="11"/>
      <c r="X76" s="11"/>
      <c r="Y76" s="12" t="str">
        <f aca="false">IF(COUNT(V76:X76)=0,"",MAX(0,1-SUM(V76:X76)))</f>
        <v/>
      </c>
      <c r="Z76" s="13"/>
      <c r="AA76" s="9"/>
      <c r="AB76" s="7"/>
      <c r="AC76" s="7"/>
      <c r="AD76" s="7"/>
      <c r="AE76" s="7"/>
      <c r="AF76" s="14" t="str">
        <f aca="false">IF(D76="","",COUNTIF($D$2:D76,D76))</f>
        <v/>
      </c>
      <c r="AG76" s="15" t="str">
        <f aca="false" t="array" ref="AG76:AG76">IF(D76="","",IFERROR(MEDIAN(IF(($D$2:$D$401=D76)*($AF$2:$AF$401&gt;=AF76-5)*($AF$2:$AF$401&lt;=AF76-1)*($M$2:$M$401&lt;&gt;""),$M$2:$M$401)),""))</f>
        <v/>
      </c>
      <c r="AH76" s="16" t="str">
        <f aca="false">IF(AND(ISNUMBER(M76),ISNUMBER(AG76)),IF(AG76&gt;0,M76/AG76,""),"")</f>
        <v/>
      </c>
      <c r="AI76" s="15" t="str">
        <f aca="false" t="array" ref="AI76:AI76">IF(D76="","",IFERROR(MEDIAN(IF(($D$2:$D$401=D76)*($AF$2:$AF$401&gt;=AF76-5)*($AF$2:$AF$401&lt;=AF76-1)*($N$2:$N$401&lt;&gt;""),$N$2:$N$401)),""))</f>
        <v/>
      </c>
      <c r="AJ76" s="16" t="str">
        <f aca="false">IF(AND(ISNUMBER(N76),ISNUMBER(AI76)),IF(AI76&gt;0,N76/AI76,""),"")</f>
        <v/>
      </c>
      <c r="AK76" s="12" t="str">
        <f aca="false" t="array" ref="AK76:AK76">IF(D76="","",IFERROR(MEDIAN(IF(($D$2:$D$401=D76)*ISNUMBER($R$2:$R$401),$R$2:$R$401)),""))</f>
        <v/>
      </c>
      <c r="AL76" s="17" t="str">
        <f aca="false">IF(ISNUMBER(AJ76),IF(AND(AJ76&gt;=Resumen!$C$5,OR(NOT(ISNUMBER(R76)),NOT(ISNUMBER(AK76)),R76&gt;=AK76)),"Ganador",IF(AJ76&lt;=Resumen!$C$6,"Perdedor","Normal")),IF(ISNUMBER(AH76),IF(AH76&gt;=Resumen!$C$5,"Ganador (7 d, provisional)",IF(AH76&lt;=Resumen!$C$6,"Perdedor (7 d, provisional)","Normal (7 d, provisional)")),""))</f>
        <v/>
      </c>
      <c r="AM76" s="18" t="str">
        <f aca="false">IF(AND(ISNUMBER(Z76),ISNUMBER(N76)),IF(N76&gt;0,Z76/N76*1000,""),"")</f>
        <v/>
      </c>
      <c r="AN76" s="19" t="str">
        <f aca="false">IF(AND(ISNUMBER(U76),ISNUMBER(N76)),IF(N76&gt;0,U76/N76*1000,""),"")</f>
        <v/>
      </c>
    </row>
    <row r="77" customFormat="false" ht="15" hidden="false" customHeight="false" outlineLevel="0" collapsed="false">
      <c r="A77" s="7"/>
      <c r="B77" s="7"/>
      <c r="C77" s="8"/>
      <c r="D77" s="7"/>
      <c r="E77" s="7"/>
      <c r="F77" s="7"/>
      <c r="G77" s="7"/>
      <c r="H77" s="7"/>
      <c r="I77" s="7"/>
      <c r="J77" s="7"/>
      <c r="K77" s="9"/>
      <c r="L77" s="10"/>
      <c r="M77" s="10"/>
      <c r="N77" s="10"/>
      <c r="O77" s="10"/>
      <c r="P77" s="11"/>
      <c r="Q77" s="9"/>
      <c r="R77" s="12" t="str">
        <f aca="false">IF(AND(ISNUMBER(K77),ISNUMBER(Q77),K77&gt;0),Q77/K77,"")</f>
        <v/>
      </c>
      <c r="S77" s="11"/>
      <c r="T77" s="9"/>
      <c r="U77" s="10"/>
      <c r="V77" s="11"/>
      <c r="W77" s="11"/>
      <c r="X77" s="11"/>
      <c r="Y77" s="12" t="str">
        <f aca="false">IF(COUNT(V77:X77)=0,"",MAX(0,1-SUM(V77:X77)))</f>
        <v/>
      </c>
      <c r="Z77" s="13"/>
      <c r="AA77" s="9"/>
      <c r="AB77" s="7"/>
      <c r="AC77" s="7"/>
      <c r="AD77" s="7"/>
      <c r="AE77" s="7"/>
      <c r="AF77" s="14" t="str">
        <f aca="false">IF(D77="","",COUNTIF($D$2:D77,D77))</f>
        <v/>
      </c>
      <c r="AG77" s="15" t="str">
        <f aca="false" t="array" ref="AG77:AG77">IF(D77="","",IFERROR(MEDIAN(IF(($D$2:$D$401=D77)*($AF$2:$AF$401&gt;=AF77-5)*($AF$2:$AF$401&lt;=AF77-1)*($M$2:$M$401&lt;&gt;""),$M$2:$M$401)),""))</f>
        <v/>
      </c>
      <c r="AH77" s="16" t="str">
        <f aca="false">IF(AND(ISNUMBER(M77),ISNUMBER(AG77)),IF(AG77&gt;0,M77/AG77,""),"")</f>
        <v/>
      </c>
      <c r="AI77" s="15" t="str">
        <f aca="false" t="array" ref="AI77:AI77">IF(D77="","",IFERROR(MEDIAN(IF(($D$2:$D$401=D77)*($AF$2:$AF$401&gt;=AF77-5)*($AF$2:$AF$401&lt;=AF77-1)*($N$2:$N$401&lt;&gt;""),$N$2:$N$401)),""))</f>
        <v/>
      </c>
      <c r="AJ77" s="16" t="str">
        <f aca="false">IF(AND(ISNUMBER(N77),ISNUMBER(AI77)),IF(AI77&gt;0,N77/AI77,""),"")</f>
        <v/>
      </c>
      <c r="AK77" s="12" t="str">
        <f aca="false" t="array" ref="AK77:AK77">IF(D77="","",IFERROR(MEDIAN(IF(($D$2:$D$401=D77)*ISNUMBER($R$2:$R$401),$R$2:$R$401)),""))</f>
        <v/>
      </c>
      <c r="AL77" s="17" t="str">
        <f aca="false">IF(ISNUMBER(AJ77),IF(AND(AJ77&gt;=Resumen!$C$5,OR(NOT(ISNUMBER(R77)),NOT(ISNUMBER(AK77)),R77&gt;=AK77)),"Ganador",IF(AJ77&lt;=Resumen!$C$6,"Perdedor","Normal")),IF(ISNUMBER(AH77),IF(AH77&gt;=Resumen!$C$5,"Ganador (7 d, provisional)",IF(AH77&lt;=Resumen!$C$6,"Perdedor (7 d, provisional)","Normal (7 d, provisional)")),""))</f>
        <v/>
      </c>
      <c r="AM77" s="18" t="str">
        <f aca="false">IF(AND(ISNUMBER(Z77),ISNUMBER(N77)),IF(N77&gt;0,Z77/N77*1000,""),"")</f>
        <v/>
      </c>
      <c r="AN77" s="19" t="str">
        <f aca="false">IF(AND(ISNUMBER(U77),ISNUMBER(N77)),IF(N77&gt;0,U77/N77*1000,""),"")</f>
        <v/>
      </c>
    </row>
    <row r="78" customFormat="false" ht="15" hidden="false" customHeight="false" outlineLevel="0" collapsed="false">
      <c r="A78" s="7"/>
      <c r="B78" s="7"/>
      <c r="C78" s="8"/>
      <c r="D78" s="7"/>
      <c r="E78" s="7"/>
      <c r="F78" s="7"/>
      <c r="G78" s="7"/>
      <c r="H78" s="7"/>
      <c r="I78" s="7"/>
      <c r="J78" s="7"/>
      <c r="K78" s="9"/>
      <c r="L78" s="10"/>
      <c r="M78" s="10"/>
      <c r="N78" s="10"/>
      <c r="O78" s="10"/>
      <c r="P78" s="11"/>
      <c r="Q78" s="9"/>
      <c r="R78" s="12" t="str">
        <f aca="false">IF(AND(ISNUMBER(K78),ISNUMBER(Q78),K78&gt;0),Q78/K78,"")</f>
        <v/>
      </c>
      <c r="S78" s="11"/>
      <c r="T78" s="9"/>
      <c r="U78" s="10"/>
      <c r="V78" s="11"/>
      <c r="W78" s="11"/>
      <c r="X78" s="11"/>
      <c r="Y78" s="12" t="str">
        <f aca="false">IF(COUNT(V78:X78)=0,"",MAX(0,1-SUM(V78:X78)))</f>
        <v/>
      </c>
      <c r="Z78" s="13"/>
      <c r="AA78" s="9"/>
      <c r="AB78" s="7"/>
      <c r="AC78" s="7"/>
      <c r="AD78" s="7"/>
      <c r="AE78" s="7"/>
      <c r="AF78" s="14" t="str">
        <f aca="false">IF(D78="","",COUNTIF($D$2:D78,D78))</f>
        <v/>
      </c>
      <c r="AG78" s="15" t="str">
        <f aca="false" t="array" ref="AG78:AG78">IF(D78="","",IFERROR(MEDIAN(IF(($D$2:$D$401=D78)*($AF$2:$AF$401&gt;=AF78-5)*($AF$2:$AF$401&lt;=AF78-1)*($M$2:$M$401&lt;&gt;""),$M$2:$M$401)),""))</f>
        <v/>
      </c>
      <c r="AH78" s="16" t="str">
        <f aca="false">IF(AND(ISNUMBER(M78),ISNUMBER(AG78)),IF(AG78&gt;0,M78/AG78,""),"")</f>
        <v/>
      </c>
      <c r="AI78" s="15" t="str">
        <f aca="false" t="array" ref="AI78:AI78">IF(D78="","",IFERROR(MEDIAN(IF(($D$2:$D$401=D78)*($AF$2:$AF$401&gt;=AF78-5)*($AF$2:$AF$401&lt;=AF78-1)*($N$2:$N$401&lt;&gt;""),$N$2:$N$401)),""))</f>
        <v/>
      </c>
      <c r="AJ78" s="16" t="str">
        <f aca="false">IF(AND(ISNUMBER(N78),ISNUMBER(AI78)),IF(AI78&gt;0,N78/AI78,""),"")</f>
        <v/>
      </c>
      <c r="AK78" s="12" t="str">
        <f aca="false" t="array" ref="AK78:AK78">IF(D78="","",IFERROR(MEDIAN(IF(($D$2:$D$401=D78)*ISNUMBER($R$2:$R$401),$R$2:$R$401)),""))</f>
        <v/>
      </c>
      <c r="AL78" s="17" t="str">
        <f aca="false">IF(ISNUMBER(AJ78),IF(AND(AJ78&gt;=Resumen!$C$5,OR(NOT(ISNUMBER(R78)),NOT(ISNUMBER(AK78)),R78&gt;=AK78)),"Ganador",IF(AJ78&lt;=Resumen!$C$6,"Perdedor","Normal")),IF(ISNUMBER(AH78),IF(AH78&gt;=Resumen!$C$5,"Ganador (7 d, provisional)",IF(AH78&lt;=Resumen!$C$6,"Perdedor (7 d, provisional)","Normal (7 d, provisional)")),""))</f>
        <v/>
      </c>
      <c r="AM78" s="18" t="str">
        <f aca="false">IF(AND(ISNUMBER(Z78),ISNUMBER(N78)),IF(N78&gt;0,Z78/N78*1000,""),"")</f>
        <v/>
      </c>
      <c r="AN78" s="19" t="str">
        <f aca="false">IF(AND(ISNUMBER(U78),ISNUMBER(N78)),IF(N78&gt;0,U78/N78*1000,""),"")</f>
        <v/>
      </c>
    </row>
    <row r="79" customFormat="false" ht="15" hidden="false" customHeight="false" outlineLevel="0" collapsed="false">
      <c r="A79" s="7"/>
      <c r="B79" s="7"/>
      <c r="C79" s="8"/>
      <c r="D79" s="7"/>
      <c r="E79" s="7"/>
      <c r="F79" s="7"/>
      <c r="G79" s="7"/>
      <c r="H79" s="7"/>
      <c r="I79" s="7"/>
      <c r="J79" s="7"/>
      <c r="K79" s="9"/>
      <c r="L79" s="10"/>
      <c r="M79" s="10"/>
      <c r="N79" s="10"/>
      <c r="O79" s="10"/>
      <c r="P79" s="11"/>
      <c r="Q79" s="9"/>
      <c r="R79" s="12" t="str">
        <f aca="false">IF(AND(ISNUMBER(K79),ISNUMBER(Q79),K79&gt;0),Q79/K79,"")</f>
        <v/>
      </c>
      <c r="S79" s="11"/>
      <c r="T79" s="9"/>
      <c r="U79" s="10"/>
      <c r="V79" s="11"/>
      <c r="W79" s="11"/>
      <c r="X79" s="11"/>
      <c r="Y79" s="12" t="str">
        <f aca="false">IF(COUNT(V79:X79)=0,"",MAX(0,1-SUM(V79:X79)))</f>
        <v/>
      </c>
      <c r="Z79" s="13"/>
      <c r="AA79" s="9"/>
      <c r="AB79" s="7"/>
      <c r="AC79" s="7"/>
      <c r="AD79" s="7"/>
      <c r="AE79" s="7"/>
      <c r="AF79" s="14" t="str">
        <f aca="false">IF(D79="","",COUNTIF($D$2:D79,D79))</f>
        <v/>
      </c>
      <c r="AG79" s="15" t="str">
        <f aca="false" t="array" ref="AG79:AG79">IF(D79="","",IFERROR(MEDIAN(IF(($D$2:$D$401=D79)*($AF$2:$AF$401&gt;=AF79-5)*($AF$2:$AF$401&lt;=AF79-1)*($M$2:$M$401&lt;&gt;""),$M$2:$M$401)),""))</f>
        <v/>
      </c>
      <c r="AH79" s="16" t="str">
        <f aca="false">IF(AND(ISNUMBER(M79),ISNUMBER(AG79)),IF(AG79&gt;0,M79/AG79,""),"")</f>
        <v/>
      </c>
      <c r="AI79" s="15" t="str">
        <f aca="false" t="array" ref="AI79:AI79">IF(D79="","",IFERROR(MEDIAN(IF(($D$2:$D$401=D79)*($AF$2:$AF$401&gt;=AF79-5)*($AF$2:$AF$401&lt;=AF79-1)*($N$2:$N$401&lt;&gt;""),$N$2:$N$401)),""))</f>
        <v/>
      </c>
      <c r="AJ79" s="16" t="str">
        <f aca="false">IF(AND(ISNUMBER(N79),ISNUMBER(AI79)),IF(AI79&gt;0,N79/AI79,""),"")</f>
        <v/>
      </c>
      <c r="AK79" s="12" t="str">
        <f aca="false" t="array" ref="AK79:AK79">IF(D79="","",IFERROR(MEDIAN(IF(($D$2:$D$401=D79)*ISNUMBER($R$2:$R$401),$R$2:$R$401)),""))</f>
        <v/>
      </c>
      <c r="AL79" s="17" t="str">
        <f aca="false">IF(ISNUMBER(AJ79),IF(AND(AJ79&gt;=Resumen!$C$5,OR(NOT(ISNUMBER(R79)),NOT(ISNUMBER(AK79)),R79&gt;=AK79)),"Ganador",IF(AJ79&lt;=Resumen!$C$6,"Perdedor","Normal")),IF(ISNUMBER(AH79),IF(AH79&gt;=Resumen!$C$5,"Ganador (7 d, provisional)",IF(AH79&lt;=Resumen!$C$6,"Perdedor (7 d, provisional)","Normal (7 d, provisional)")),""))</f>
        <v/>
      </c>
      <c r="AM79" s="18" t="str">
        <f aca="false">IF(AND(ISNUMBER(Z79),ISNUMBER(N79)),IF(N79&gt;0,Z79/N79*1000,""),"")</f>
        <v/>
      </c>
      <c r="AN79" s="19" t="str">
        <f aca="false">IF(AND(ISNUMBER(U79),ISNUMBER(N79)),IF(N79&gt;0,U79/N79*1000,""),"")</f>
        <v/>
      </c>
    </row>
    <row r="80" customFormat="false" ht="15" hidden="false" customHeight="false" outlineLevel="0" collapsed="false">
      <c r="A80" s="7"/>
      <c r="B80" s="7"/>
      <c r="C80" s="8"/>
      <c r="D80" s="7"/>
      <c r="E80" s="7"/>
      <c r="F80" s="7"/>
      <c r="G80" s="7"/>
      <c r="H80" s="7"/>
      <c r="I80" s="7"/>
      <c r="J80" s="7"/>
      <c r="K80" s="9"/>
      <c r="L80" s="10"/>
      <c r="M80" s="10"/>
      <c r="N80" s="10"/>
      <c r="O80" s="10"/>
      <c r="P80" s="11"/>
      <c r="Q80" s="9"/>
      <c r="R80" s="12" t="str">
        <f aca="false">IF(AND(ISNUMBER(K80),ISNUMBER(Q80),K80&gt;0),Q80/K80,"")</f>
        <v/>
      </c>
      <c r="S80" s="11"/>
      <c r="T80" s="9"/>
      <c r="U80" s="10"/>
      <c r="V80" s="11"/>
      <c r="W80" s="11"/>
      <c r="X80" s="11"/>
      <c r="Y80" s="12" t="str">
        <f aca="false">IF(COUNT(V80:X80)=0,"",MAX(0,1-SUM(V80:X80)))</f>
        <v/>
      </c>
      <c r="Z80" s="13"/>
      <c r="AA80" s="9"/>
      <c r="AB80" s="7"/>
      <c r="AC80" s="7"/>
      <c r="AD80" s="7"/>
      <c r="AE80" s="7"/>
      <c r="AF80" s="14" t="str">
        <f aca="false">IF(D80="","",COUNTIF($D$2:D80,D80))</f>
        <v/>
      </c>
      <c r="AG80" s="15" t="str">
        <f aca="false" t="array" ref="AG80:AG80">IF(D80="","",IFERROR(MEDIAN(IF(($D$2:$D$401=D80)*($AF$2:$AF$401&gt;=AF80-5)*($AF$2:$AF$401&lt;=AF80-1)*($M$2:$M$401&lt;&gt;""),$M$2:$M$401)),""))</f>
        <v/>
      </c>
      <c r="AH80" s="16" t="str">
        <f aca="false">IF(AND(ISNUMBER(M80),ISNUMBER(AG80)),IF(AG80&gt;0,M80/AG80,""),"")</f>
        <v/>
      </c>
      <c r="AI80" s="15" t="str">
        <f aca="false" t="array" ref="AI80:AI80">IF(D80="","",IFERROR(MEDIAN(IF(($D$2:$D$401=D80)*($AF$2:$AF$401&gt;=AF80-5)*($AF$2:$AF$401&lt;=AF80-1)*($N$2:$N$401&lt;&gt;""),$N$2:$N$401)),""))</f>
        <v/>
      </c>
      <c r="AJ80" s="16" t="str">
        <f aca="false">IF(AND(ISNUMBER(N80),ISNUMBER(AI80)),IF(AI80&gt;0,N80/AI80,""),"")</f>
        <v/>
      </c>
      <c r="AK80" s="12" t="str">
        <f aca="false" t="array" ref="AK80:AK80">IF(D80="","",IFERROR(MEDIAN(IF(($D$2:$D$401=D80)*ISNUMBER($R$2:$R$401),$R$2:$R$401)),""))</f>
        <v/>
      </c>
      <c r="AL80" s="17" t="str">
        <f aca="false">IF(ISNUMBER(AJ80),IF(AND(AJ80&gt;=Resumen!$C$5,OR(NOT(ISNUMBER(R80)),NOT(ISNUMBER(AK80)),R80&gt;=AK80)),"Ganador",IF(AJ80&lt;=Resumen!$C$6,"Perdedor","Normal")),IF(ISNUMBER(AH80),IF(AH80&gt;=Resumen!$C$5,"Ganador (7 d, provisional)",IF(AH80&lt;=Resumen!$C$6,"Perdedor (7 d, provisional)","Normal (7 d, provisional)")),""))</f>
        <v/>
      </c>
      <c r="AM80" s="18" t="str">
        <f aca="false">IF(AND(ISNUMBER(Z80),ISNUMBER(N80)),IF(N80&gt;0,Z80/N80*1000,""),"")</f>
        <v/>
      </c>
      <c r="AN80" s="19" t="str">
        <f aca="false">IF(AND(ISNUMBER(U80),ISNUMBER(N80)),IF(N80&gt;0,U80/N80*1000,""),"")</f>
        <v/>
      </c>
    </row>
    <row r="81" customFormat="false" ht="15" hidden="false" customHeight="false" outlineLevel="0" collapsed="false">
      <c r="A81" s="7"/>
      <c r="B81" s="7"/>
      <c r="C81" s="8"/>
      <c r="D81" s="7"/>
      <c r="E81" s="7"/>
      <c r="F81" s="7"/>
      <c r="G81" s="7"/>
      <c r="H81" s="7"/>
      <c r="I81" s="7"/>
      <c r="J81" s="7"/>
      <c r="K81" s="9"/>
      <c r="L81" s="10"/>
      <c r="M81" s="10"/>
      <c r="N81" s="10"/>
      <c r="O81" s="10"/>
      <c r="P81" s="11"/>
      <c r="Q81" s="9"/>
      <c r="R81" s="12" t="str">
        <f aca="false">IF(AND(ISNUMBER(K81),ISNUMBER(Q81),K81&gt;0),Q81/K81,"")</f>
        <v/>
      </c>
      <c r="S81" s="11"/>
      <c r="T81" s="9"/>
      <c r="U81" s="10"/>
      <c r="V81" s="11"/>
      <c r="W81" s="11"/>
      <c r="X81" s="11"/>
      <c r="Y81" s="12" t="str">
        <f aca="false">IF(COUNT(V81:X81)=0,"",MAX(0,1-SUM(V81:X81)))</f>
        <v/>
      </c>
      <c r="Z81" s="13"/>
      <c r="AA81" s="9"/>
      <c r="AB81" s="7"/>
      <c r="AC81" s="7"/>
      <c r="AD81" s="7"/>
      <c r="AE81" s="7"/>
      <c r="AF81" s="14" t="str">
        <f aca="false">IF(D81="","",COUNTIF($D$2:D81,D81))</f>
        <v/>
      </c>
      <c r="AG81" s="15" t="str">
        <f aca="false" t="array" ref="AG81:AG81">IF(D81="","",IFERROR(MEDIAN(IF(($D$2:$D$401=D81)*($AF$2:$AF$401&gt;=AF81-5)*($AF$2:$AF$401&lt;=AF81-1)*($M$2:$M$401&lt;&gt;""),$M$2:$M$401)),""))</f>
        <v/>
      </c>
      <c r="AH81" s="16" t="str">
        <f aca="false">IF(AND(ISNUMBER(M81),ISNUMBER(AG81)),IF(AG81&gt;0,M81/AG81,""),"")</f>
        <v/>
      </c>
      <c r="AI81" s="15" t="str">
        <f aca="false" t="array" ref="AI81:AI81">IF(D81="","",IFERROR(MEDIAN(IF(($D$2:$D$401=D81)*($AF$2:$AF$401&gt;=AF81-5)*($AF$2:$AF$401&lt;=AF81-1)*($N$2:$N$401&lt;&gt;""),$N$2:$N$401)),""))</f>
        <v/>
      </c>
      <c r="AJ81" s="16" t="str">
        <f aca="false">IF(AND(ISNUMBER(N81),ISNUMBER(AI81)),IF(AI81&gt;0,N81/AI81,""),"")</f>
        <v/>
      </c>
      <c r="AK81" s="12" t="str">
        <f aca="false" t="array" ref="AK81:AK81">IF(D81="","",IFERROR(MEDIAN(IF(($D$2:$D$401=D81)*ISNUMBER($R$2:$R$401),$R$2:$R$401)),""))</f>
        <v/>
      </c>
      <c r="AL81" s="17" t="str">
        <f aca="false">IF(ISNUMBER(AJ81),IF(AND(AJ81&gt;=Resumen!$C$5,OR(NOT(ISNUMBER(R81)),NOT(ISNUMBER(AK81)),R81&gt;=AK81)),"Ganador",IF(AJ81&lt;=Resumen!$C$6,"Perdedor","Normal")),IF(ISNUMBER(AH81),IF(AH81&gt;=Resumen!$C$5,"Ganador (7 d, provisional)",IF(AH81&lt;=Resumen!$C$6,"Perdedor (7 d, provisional)","Normal (7 d, provisional)")),""))</f>
        <v/>
      </c>
      <c r="AM81" s="18" t="str">
        <f aca="false">IF(AND(ISNUMBER(Z81),ISNUMBER(N81)),IF(N81&gt;0,Z81/N81*1000,""),"")</f>
        <v/>
      </c>
      <c r="AN81" s="19" t="str">
        <f aca="false">IF(AND(ISNUMBER(U81),ISNUMBER(N81)),IF(N81&gt;0,U81/N81*1000,""),"")</f>
        <v/>
      </c>
    </row>
    <row r="82" customFormat="false" ht="15" hidden="false" customHeight="false" outlineLevel="0" collapsed="false">
      <c r="A82" s="7"/>
      <c r="B82" s="7"/>
      <c r="C82" s="8"/>
      <c r="D82" s="7"/>
      <c r="E82" s="7"/>
      <c r="F82" s="7"/>
      <c r="G82" s="7"/>
      <c r="H82" s="7"/>
      <c r="I82" s="7"/>
      <c r="J82" s="7"/>
      <c r="K82" s="9"/>
      <c r="L82" s="10"/>
      <c r="M82" s="10"/>
      <c r="N82" s="10"/>
      <c r="O82" s="10"/>
      <c r="P82" s="11"/>
      <c r="Q82" s="9"/>
      <c r="R82" s="12" t="str">
        <f aca="false">IF(AND(ISNUMBER(K82),ISNUMBER(Q82),K82&gt;0),Q82/K82,"")</f>
        <v/>
      </c>
      <c r="S82" s="11"/>
      <c r="T82" s="9"/>
      <c r="U82" s="10"/>
      <c r="V82" s="11"/>
      <c r="W82" s="11"/>
      <c r="X82" s="11"/>
      <c r="Y82" s="12" t="str">
        <f aca="false">IF(COUNT(V82:X82)=0,"",MAX(0,1-SUM(V82:X82)))</f>
        <v/>
      </c>
      <c r="Z82" s="13"/>
      <c r="AA82" s="9"/>
      <c r="AB82" s="7"/>
      <c r="AC82" s="7"/>
      <c r="AD82" s="7"/>
      <c r="AE82" s="7"/>
      <c r="AF82" s="14" t="str">
        <f aca="false">IF(D82="","",COUNTIF($D$2:D82,D82))</f>
        <v/>
      </c>
      <c r="AG82" s="15" t="str">
        <f aca="false" t="array" ref="AG82:AG82">IF(D82="","",IFERROR(MEDIAN(IF(($D$2:$D$401=D82)*($AF$2:$AF$401&gt;=AF82-5)*($AF$2:$AF$401&lt;=AF82-1)*($M$2:$M$401&lt;&gt;""),$M$2:$M$401)),""))</f>
        <v/>
      </c>
      <c r="AH82" s="16" t="str">
        <f aca="false">IF(AND(ISNUMBER(M82),ISNUMBER(AG82)),IF(AG82&gt;0,M82/AG82,""),"")</f>
        <v/>
      </c>
      <c r="AI82" s="15" t="str">
        <f aca="false" t="array" ref="AI82:AI82">IF(D82="","",IFERROR(MEDIAN(IF(($D$2:$D$401=D82)*($AF$2:$AF$401&gt;=AF82-5)*($AF$2:$AF$401&lt;=AF82-1)*($N$2:$N$401&lt;&gt;""),$N$2:$N$401)),""))</f>
        <v/>
      </c>
      <c r="AJ82" s="16" t="str">
        <f aca="false">IF(AND(ISNUMBER(N82),ISNUMBER(AI82)),IF(AI82&gt;0,N82/AI82,""),"")</f>
        <v/>
      </c>
      <c r="AK82" s="12" t="str">
        <f aca="false" t="array" ref="AK82:AK82">IF(D82="","",IFERROR(MEDIAN(IF(($D$2:$D$401=D82)*ISNUMBER($R$2:$R$401),$R$2:$R$401)),""))</f>
        <v/>
      </c>
      <c r="AL82" s="17" t="str">
        <f aca="false">IF(ISNUMBER(AJ82),IF(AND(AJ82&gt;=Resumen!$C$5,OR(NOT(ISNUMBER(R82)),NOT(ISNUMBER(AK82)),R82&gt;=AK82)),"Ganador",IF(AJ82&lt;=Resumen!$C$6,"Perdedor","Normal")),IF(ISNUMBER(AH82),IF(AH82&gt;=Resumen!$C$5,"Ganador (7 d, provisional)",IF(AH82&lt;=Resumen!$C$6,"Perdedor (7 d, provisional)","Normal (7 d, provisional)")),""))</f>
        <v/>
      </c>
      <c r="AM82" s="18" t="str">
        <f aca="false">IF(AND(ISNUMBER(Z82),ISNUMBER(N82)),IF(N82&gt;0,Z82/N82*1000,""),"")</f>
        <v/>
      </c>
      <c r="AN82" s="19" t="str">
        <f aca="false">IF(AND(ISNUMBER(U82),ISNUMBER(N82)),IF(N82&gt;0,U82/N82*1000,""),"")</f>
        <v/>
      </c>
    </row>
    <row r="83" customFormat="false" ht="15" hidden="false" customHeight="false" outlineLevel="0" collapsed="false">
      <c r="A83" s="7"/>
      <c r="B83" s="7"/>
      <c r="C83" s="8"/>
      <c r="D83" s="7"/>
      <c r="E83" s="7"/>
      <c r="F83" s="7"/>
      <c r="G83" s="7"/>
      <c r="H83" s="7"/>
      <c r="I83" s="7"/>
      <c r="J83" s="7"/>
      <c r="K83" s="9"/>
      <c r="L83" s="10"/>
      <c r="M83" s="10"/>
      <c r="N83" s="10"/>
      <c r="O83" s="10"/>
      <c r="P83" s="11"/>
      <c r="Q83" s="9"/>
      <c r="R83" s="12" t="str">
        <f aca="false">IF(AND(ISNUMBER(K83),ISNUMBER(Q83),K83&gt;0),Q83/K83,"")</f>
        <v/>
      </c>
      <c r="S83" s="11"/>
      <c r="T83" s="9"/>
      <c r="U83" s="10"/>
      <c r="V83" s="11"/>
      <c r="W83" s="11"/>
      <c r="X83" s="11"/>
      <c r="Y83" s="12" t="str">
        <f aca="false">IF(COUNT(V83:X83)=0,"",MAX(0,1-SUM(V83:X83)))</f>
        <v/>
      </c>
      <c r="Z83" s="13"/>
      <c r="AA83" s="9"/>
      <c r="AB83" s="7"/>
      <c r="AC83" s="7"/>
      <c r="AD83" s="7"/>
      <c r="AE83" s="7"/>
      <c r="AF83" s="14" t="str">
        <f aca="false">IF(D83="","",COUNTIF($D$2:D83,D83))</f>
        <v/>
      </c>
      <c r="AG83" s="15" t="str">
        <f aca="false" t="array" ref="AG83:AG83">IF(D83="","",IFERROR(MEDIAN(IF(($D$2:$D$401=D83)*($AF$2:$AF$401&gt;=AF83-5)*($AF$2:$AF$401&lt;=AF83-1)*($M$2:$M$401&lt;&gt;""),$M$2:$M$401)),""))</f>
        <v/>
      </c>
      <c r="AH83" s="16" t="str">
        <f aca="false">IF(AND(ISNUMBER(M83),ISNUMBER(AG83)),IF(AG83&gt;0,M83/AG83,""),"")</f>
        <v/>
      </c>
      <c r="AI83" s="15" t="str">
        <f aca="false" t="array" ref="AI83:AI83">IF(D83="","",IFERROR(MEDIAN(IF(($D$2:$D$401=D83)*($AF$2:$AF$401&gt;=AF83-5)*($AF$2:$AF$401&lt;=AF83-1)*($N$2:$N$401&lt;&gt;""),$N$2:$N$401)),""))</f>
        <v/>
      </c>
      <c r="AJ83" s="16" t="str">
        <f aca="false">IF(AND(ISNUMBER(N83),ISNUMBER(AI83)),IF(AI83&gt;0,N83/AI83,""),"")</f>
        <v/>
      </c>
      <c r="AK83" s="12" t="str">
        <f aca="false" t="array" ref="AK83:AK83">IF(D83="","",IFERROR(MEDIAN(IF(($D$2:$D$401=D83)*ISNUMBER($R$2:$R$401),$R$2:$R$401)),""))</f>
        <v/>
      </c>
      <c r="AL83" s="17" t="str">
        <f aca="false">IF(ISNUMBER(AJ83),IF(AND(AJ83&gt;=Resumen!$C$5,OR(NOT(ISNUMBER(R83)),NOT(ISNUMBER(AK83)),R83&gt;=AK83)),"Ganador",IF(AJ83&lt;=Resumen!$C$6,"Perdedor","Normal")),IF(ISNUMBER(AH83),IF(AH83&gt;=Resumen!$C$5,"Ganador (7 d, provisional)",IF(AH83&lt;=Resumen!$C$6,"Perdedor (7 d, provisional)","Normal (7 d, provisional)")),""))</f>
        <v/>
      </c>
      <c r="AM83" s="18" t="str">
        <f aca="false">IF(AND(ISNUMBER(Z83),ISNUMBER(N83)),IF(N83&gt;0,Z83/N83*1000,""),"")</f>
        <v/>
      </c>
      <c r="AN83" s="19" t="str">
        <f aca="false">IF(AND(ISNUMBER(U83),ISNUMBER(N83)),IF(N83&gt;0,U83/N83*1000,""),"")</f>
        <v/>
      </c>
    </row>
    <row r="84" customFormat="false" ht="15" hidden="false" customHeight="false" outlineLevel="0" collapsed="false">
      <c r="A84" s="7"/>
      <c r="B84" s="7"/>
      <c r="C84" s="8"/>
      <c r="D84" s="7"/>
      <c r="E84" s="7"/>
      <c r="F84" s="7"/>
      <c r="G84" s="7"/>
      <c r="H84" s="7"/>
      <c r="I84" s="7"/>
      <c r="J84" s="7"/>
      <c r="K84" s="9"/>
      <c r="L84" s="10"/>
      <c r="M84" s="10"/>
      <c r="N84" s="10"/>
      <c r="O84" s="10"/>
      <c r="P84" s="11"/>
      <c r="Q84" s="9"/>
      <c r="R84" s="12" t="str">
        <f aca="false">IF(AND(ISNUMBER(K84),ISNUMBER(Q84),K84&gt;0),Q84/K84,"")</f>
        <v/>
      </c>
      <c r="S84" s="11"/>
      <c r="T84" s="9"/>
      <c r="U84" s="10"/>
      <c r="V84" s="11"/>
      <c r="W84" s="11"/>
      <c r="X84" s="11"/>
      <c r="Y84" s="12" t="str">
        <f aca="false">IF(COUNT(V84:X84)=0,"",MAX(0,1-SUM(V84:X84)))</f>
        <v/>
      </c>
      <c r="Z84" s="13"/>
      <c r="AA84" s="9"/>
      <c r="AB84" s="7"/>
      <c r="AC84" s="7"/>
      <c r="AD84" s="7"/>
      <c r="AE84" s="7"/>
      <c r="AF84" s="14" t="str">
        <f aca="false">IF(D84="","",COUNTIF($D$2:D84,D84))</f>
        <v/>
      </c>
      <c r="AG84" s="15" t="str">
        <f aca="false" t="array" ref="AG84:AG84">IF(D84="","",IFERROR(MEDIAN(IF(($D$2:$D$401=D84)*($AF$2:$AF$401&gt;=AF84-5)*($AF$2:$AF$401&lt;=AF84-1)*($M$2:$M$401&lt;&gt;""),$M$2:$M$401)),""))</f>
        <v/>
      </c>
      <c r="AH84" s="16" t="str">
        <f aca="false">IF(AND(ISNUMBER(M84),ISNUMBER(AG84)),IF(AG84&gt;0,M84/AG84,""),"")</f>
        <v/>
      </c>
      <c r="AI84" s="15" t="str">
        <f aca="false" t="array" ref="AI84:AI84">IF(D84="","",IFERROR(MEDIAN(IF(($D$2:$D$401=D84)*($AF$2:$AF$401&gt;=AF84-5)*($AF$2:$AF$401&lt;=AF84-1)*($N$2:$N$401&lt;&gt;""),$N$2:$N$401)),""))</f>
        <v/>
      </c>
      <c r="AJ84" s="16" t="str">
        <f aca="false">IF(AND(ISNUMBER(N84),ISNUMBER(AI84)),IF(AI84&gt;0,N84/AI84,""),"")</f>
        <v/>
      </c>
      <c r="AK84" s="12" t="str">
        <f aca="false" t="array" ref="AK84:AK84">IF(D84="","",IFERROR(MEDIAN(IF(($D$2:$D$401=D84)*ISNUMBER($R$2:$R$401),$R$2:$R$401)),""))</f>
        <v/>
      </c>
      <c r="AL84" s="17" t="str">
        <f aca="false">IF(ISNUMBER(AJ84),IF(AND(AJ84&gt;=Resumen!$C$5,OR(NOT(ISNUMBER(R84)),NOT(ISNUMBER(AK84)),R84&gt;=AK84)),"Ganador",IF(AJ84&lt;=Resumen!$C$6,"Perdedor","Normal")),IF(ISNUMBER(AH84),IF(AH84&gt;=Resumen!$C$5,"Ganador (7 d, provisional)",IF(AH84&lt;=Resumen!$C$6,"Perdedor (7 d, provisional)","Normal (7 d, provisional)")),""))</f>
        <v/>
      </c>
      <c r="AM84" s="18" t="str">
        <f aca="false">IF(AND(ISNUMBER(Z84),ISNUMBER(N84)),IF(N84&gt;0,Z84/N84*1000,""),"")</f>
        <v/>
      </c>
      <c r="AN84" s="19" t="str">
        <f aca="false">IF(AND(ISNUMBER(U84),ISNUMBER(N84)),IF(N84&gt;0,U84/N84*1000,""),"")</f>
        <v/>
      </c>
    </row>
    <row r="85" customFormat="false" ht="15" hidden="false" customHeight="false" outlineLevel="0" collapsed="false">
      <c r="A85" s="7"/>
      <c r="B85" s="7"/>
      <c r="C85" s="8"/>
      <c r="D85" s="7"/>
      <c r="E85" s="7"/>
      <c r="F85" s="7"/>
      <c r="G85" s="7"/>
      <c r="H85" s="7"/>
      <c r="I85" s="7"/>
      <c r="J85" s="7"/>
      <c r="K85" s="9"/>
      <c r="L85" s="10"/>
      <c r="M85" s="10"/>
      <c r="N85" s="10"/>
      <c r="O85" s="10"/>
      <c r="P85" s="11"/>
      <c r="Q85" s="9"/>
      <c r="R85" s="12" t="str">
        <f aca="false">IF(AND(ISNUMBER(K85),ISNUMBER(Q85),K85&gt;0),Q85/K85,"")</f>
        <v/>
      </c>
      <c r="S85" s="11"/>
      <c r="T85" s="9"/>
      <c r="U85" s="10"/>
      <c r="V85" s="11"/>
      <c r="W85" s="11"/>
      <c r="X85" s="11"/>
      <c r="Y85" s="12" t="str">
        <f aca="false">IF(COUNT(V85:X85)=0,"",MAX(0,1-SUM(V85:X85)))</f>
        <v/>
      </c>
      <c r="Z85" s="13"/>
      <c r="AA85" s="9"/>
      <c r="AB85" s="7"/>
      <c r="AC85" s="7"/>
      <c r="AD85" s="7"/>
      <c r="AE85" s="7"/>
      <c r="AF85" s="14" t="str">
        <f aca="false">IF(D85="","",COUNTIF($D$2:D85,D85))</f>
        <v/>
      </c>
      <c r="AG85" s="15" t="str">
        <f aca="false" t="array" ref="AG85:AG85">IF(D85="","",IFERROR(MEDIAN(IF(($D$2:$D$401=D85)*($AF$2:$AF$401&gt;=AF85-5)*($AF$2:$AF$401&lt;=AF85-1)*($M$2:$M$401&lt;&gt;""),$M$2:$M$401)),""))</f>
        <v/>
      </c>
      <c r="AH85" s="16" t="str">
        <f aca="false">IF(AND(ISNUMBER(M85),ISNUMBER(AG85)),IF(AG85&gt;0,M85/AG85,""),"")</f>
        <v/>
      </c>
      <c r="AI85" s="15" t="str">
        <f aca="false" t="array" ref="AI85:AI85">IF(D85="","",IFERROR(MEDIAN(IF(($D$2:$D$401=D85)*($AF$2:$AF$401&gt;=AF85-5)*($AF$2:$AF$401&lt;=AF85-1)*($N$2:$N$401&lt;&gt;""),$N$2:$N$401)),""))</f>
        <v/>
      </c>
      <c r="AJ85" s="16" t="str">
        <f aca="false">IF(AND(ISNUMBER(N85),ISNUMBER(AI85)),IF(AI85&gt;0,N85/AI85,""),"")</f>
        <v/>
      </c>
      <c r="AK85" s="12" t="str">
        <f aca="false" t="array" ref="AK85:AK85">IF(D85="","",IFERROR(MEDIAN(IF(($D$2:$D$401=D85)*ISNUMBER($R$2:$R$401),$R$2:$R$401)),""))</f>
        <v/>
      </c>
      <c r="AL85" s="17" t="str">
        <f aca="false">IF(ISNUMBER(AJ85),IF(AND(AJ85&gt;=Resumen!$C$5,OR(NOT(ISNUMBER(R85)),NOT(ISNUMBER(AK85)),R85&gt;=AK85)),"Ganador",IF(AJ85&lt;=Resumen!$C$6,"Perdedor","Normal")),IF(ISNUMBER(AH85),IF(AH85&gt;=Resumen!$C$5,"Ganador (7 d, provisional)",IF(AH85&lt;=Resumen!$C$6,"Perdedor (7 d, provisional)","Normal (7 d, provisional)")),""))</f>
        <v/>
      </c>
      <c r="AM85" s="18" t="str">
        <f aca="false">IF(AND(ISNUMBER(Z85),ISNUMBER(N85)),IF(N85&gt;0,Z85/N85*1000,""),"")</f>
        <v/>
      </c>
      <c r="AN85" s="19" t="str">
        <f aca="false">IF(AND(ISNUMBER(U85),ISNUMBER(N85)),IF(N85&gt;0,U85/N85*1000,""),"")</f>
        <v/>
      </c>
    </row>
    <row r="86" customFormat="false" ht="15" hidden="false" customHeight="false" outlineLevel="0" collapsed="false">
      <c r="A86" s="7"/>
      <c r="B86" s="7"/>
      <c r="C86" s="8"/>
      <c r="D86" s="7"/>
      <c r="E86" s="7"/>
      <c r="F86" s="7"/>
      <c r="G86" s="7"/>
      <c r="H86" s="7"/>
      <c r="I86" s="7"/>
      <c r="J86" s="7"/>
      <c r="K86" s="9"/>
      <c r="L86" s="10"/>
      <c r="M86" s="10"/>
      <c r="N86" s="10"/>
      <c r="O86" s="10"/>
      <c r="P86" s="11"/>
      <c r="Q86" s="9"/>
      <c r="R86" s="12" t="str">
        <f aca="false">IF(AND(ISNUMBER(K86),ISNUMBER(Q86),K86&gt;0),Q86/K86,"")</f>
        <v/>
      </c>
      <c r="S86" s="11"/>
      <c r="T86" s="9"/>
      <c r="U86" s="10"/>
      <c r="V86" s="11"/>
      <c r="W86" s="11"/>
      <c r="X86" s="11"/>
      <c r="Y86" s="12" t="str">
        <f aca="false">IF(COUNT(V86:X86)=0,"",MAX(0,1-SUM(V86:X86)))</f>
        <v/>
      </c>
      <c r="Z86" s="13"/>
      <c r="AA86" s="9"/>
      <c r="AB86" s="7"/>
      <c r="AC86" s="7"/>
      <c r="AD86" s="7"/>
      <c r="AE86" s="7"/>
      <c r="AF86" s="14" t="str">
        <f aca="false">IF(D86="","",COUNTIF($D$2:D86,D86))</f>
        <v/>
      </c>
      <c r="AG86" s="15" t="str">
        <f aca="false" t="array" ref="AG86:AG86">IF(D86="","",IFERROR(MEDIAN(IF(($D$2:$D$401=D86)*($AF$2:$AF$401&gt;=AF86-5)*($AF$2:$AF$401&lt;=AF86-1)*($M$2:$M$401&lt;&gt;""),$M$2:$M$401)),""))</f>
        <v/>
      </c>
      <c r="AH86" s="16" t="str">
        <f aca="false">IF(AND(ISNUMBER(M86),ISNUMBER(AG86)),IF(AG86&gt;0,M86/AG86,""),"")</f>
        <v/>
      </c>
      <c r="AI86" s="15" t="str">
        <f aca="false" t="array" ref="AI86:AI86">IF(D86="","",IFERROR(MEDIAN(IF(($D$2:$D$401=D86)*($AF$2:$AF$401&gt;=AF86-5)*($AF$2:$AF$401&lt;=AF86-1)*($N$2:$N$401&lt;&gt;""),$N$2:$N$401)),""))</f>
        <v/>
      </c>
      <c r="AJ86" s="16" t="str">
        <f aca="false">IF(AND(ISNUMBER(N86),ISNUMBER(AI86)),IF(AI86&gt;0,N86/AI86,""),"")</f>
        <v/>
      </c>
      <c r="AK86" s="12" t="str">
        <f aca="false" t="array" ref="AK86:AK86">IF(D86="","",IFERROR(MEDIAN(IF(($D$2:$D$401=D86)*ISNUMBER($R$2:$R$401),$R$2:$R$401)),""))</f>
        <v/>
      </c>
      <c r="AL86" s="17" t="str">
        <f aca="false">IF(ISNUMBER(AJ86),IF(AND(AJ86&gt;=Resumen!$C$5,OR(NOT(ISNUMBER(R86)),NOT(ISNUMBER(AK86)),R86&gt;=AK86)),"Ganador",IF(AJ86&lt;=Resumen!$C$6,"Perdedor","Normal")),IF(ISNUMBER(AH86),IF(AH86&gt;=Resumen!$C$5,"Ganador (7 d, provisional)",IF(AH86&lt;=Resumen!$C$6,"Perdedor (7 d, provisional)","Normal (7 d, provisional)")),""))</f>
        <v/>
      </c>
      <c r="AM86" s="18" t="str">
        <f aca="false">IF(AND(ISNUMBER(Z86),ISNUMBER(N86)),IF(N86&gt;0,Z86/N86*1000,""),"")</f>
        <v/>
      </c>
      <c r="AN86" s="19" t="str">
        <f aca="false">IF(AND(ISNUMBER(U86),ISNUMBER(N86)),IF(N86&gt;0,U86/N86*1000,""),"")</f>
        <v/>
      </c>
    </row>
    <row r="87" customFormat="false" ht="15" hidden="false" customHeight="false" outlineLevel="0" collapsed="false">
      <c r="A87" s="7"/>
      <c r="B87" s="7"/>
      <c r="C87" s="8"/>
      <c r="D87" s="7"/>
      <c r="E87" s="7"/>
      <c r="F87" s="7"/>
      <c r="G87" s="7"/>
      <c r="H87" s="7"/>
      <c r="I87" s="7"/>
      <c r="J87" s="7"/>
      <c r="K87" s="9"/>
      <c r="L87" s="10"/>
      <c r="M87" s="10"/>
      <c r="N87" s="10"/>
      <c r="O87" s="10"/>
      <c r="P87" s="11"/>
      <c r="Q87" s="9"/>
      <c r="R87" s="12" t="str">
        <f aca="false">IF(AND(ISNUMBER(K87),ISNUMBER(Q87),K87&gt;0),Q87/K87,"")</f>
        <v/>
      </c>
      <c r="S87" s="11"/>
      <c r="T87" s="9"/>
      <c r="U87" s="10"/>
      <c r="V87" s="11"/>
      <c r="W87" s="11"/>
      <c r="X87" s="11"/>
      <c r="Y87" s="12" t="str">
        <f aca="false">IF(COUNT(V87:X87)=0,"",MAX(0,1-SUM(V87:X87)))</f>
        <v/>
      </c>
      <c r="Z87" s="13"/>
      <c r="AA87" s="9"/>
      <c r="AB87" s="7"/>
      <c r="AC87" s="7"/>
      <c r="AD87" s="7"/>
      <c r="AE87" s="7"/>
      <c r="AF87" s="14" t="str">
        <f aca="false">IF(D87="","",COUNTIF($D$2:D87,D87))</f>
        <v/>
      </c>
      <c r="AG87" s="15" t="str">
        <f aca="false" t="array" ref="AG87:AG87">IF(D87="","",IFERROR(MEDIAN(IF(($D$2:$D$401=D87)*($AF$2:$AF$401&gt;=AF87-5)*($AF$2:$AF$401&lt;=AF87-1)*($M$2:$M$401&lt;&gt;""),$M$2:$M$401)),""))</f>
        <v/>
      </c>
      <c r="AH87" s="16" t="str">
        <f aca="false">IF(AND(ISNUMBER(M87),ISNUMBER(AG87)),IF(AG87&gt;0,M87/AG87,""),"")</f>
        <v/>
      </c>
      <c r="AI87" s="15" t="str">
        <f aca="false" t="array" ref="AI87:AI87">IF(D87="","",IFERROR(MEDIAN(IF(($D$2:$D$401=D87)*($AF$2:$AF$401&gt;=AF87-5)*($AF$2:$AF$401&lt;=AF87-1)*($N$2:$N$401&lt;&gt;""),$N$2:$N$401)),""))</f>
        <v/>
      </c>
      <c r="AJ87" s="16" t="str">
        <f aca="false">IF(AND(ISNUMBER(N87),ISNUMBER(AI87)),IF(AI87&gt;0,N87/AI87,""),"")</f>
        <v/>
      </c>
      <c r="AK87" s="12" t="str">
        <f aca="false" t="array" ref="AK87:AK87">IF(D87="","",IFERROR(MEDIAN(IF(($D$2:$D$401=D87)*ISNUMBER($R$2:$R$401),$R$2:$R$401)),""))</f>
        <v/>
      </c>
      <c r="AL87" s="17" t="str">
        <f aca="false">IF(ISNUMBER(AJ87),IF(AND(AJ87&gt;=Resumen!$C$5,OR(NOT(ISNUMBER(R87)),NOT(ISNUMBER(AK87)),R87&gt;=AK87)),"Ganador",IF(AJ87&lt;=Resumen!$C$6,"Perdedor","Normal")),IF(ISNUMBER(AH87),IF(AH87&gt;=Resumen!$C$5,"Ganador (7 d, provisional)",IF(AH87&lt;=Resumen!$C$6,"Perdedor (7 d, provisional)","Normal (7 d, provisional)")),""))</f>
        <v/>
      </c>
      <c r="AM87" s="18" t="str">
        <f aca="false">IF(AND(ISNUMBER(Z87),ISNUMBER(N87)),IF(N87&gt;0,Z87/N87*1000,""),"")</f>
        <v/>
      </c>
      <c r="AN87" s="19" t="str">
        <f aca="false">IF(AND(ISNUMBER(U87),ISNUMBER(N87)),IF(N87&gt;0,U87/N87*1000,""),"")</f>
        <v/>
      </c>
    </row>
    <row r="88" customFormat="false" ht="15" hidden="false" customHeight="false" outlineLevel="0" collapsed="false">
      <c r="A88" s="7"/>
      <c r="B88" s="7"/>
      <c r="C88" s="8"/>
      <c r="D88" s="7"/>
      <c r="E88" s="7"/>
      <c r="F88" s="7"/>
      <c r="G88" s="7"/>
      <c r="H88" s="7"/>
      <c r="I88" s="7"/>
      <c r="J88" s="7"/>
      <c r="K88" s="9"/>
      <c r="L88" s="10"/>
      <c r="M88" s="10"/>
      <c r="N88" s="10"/>
      <c r="O88" s="10"/>
      <c r="P88" s="11"/>
      <c r="Q88" s="9"/>
      <c r="R88" s="12" t="str">
        <f aca="false">IF(AND(ISNUMBER(K88),ISNUMBER(Q88),K88&gt;0),Q88/K88,"")</f>
        <v/>
      </c>
      <c r="S88" s="11"/>
      <c r="T88" s="9"/>
      <c r="U88" s="10"/>
      <c r="V88" s="11"/>
      <c r="W88" s="11"/>
      <c r="X88" s="11"/>
      <c r="Y88" s="12" t="str">
        <f aca="false">IF(COUNT(V88:X88)=0,"",MAX(0,1-SUM(V88:X88)))</f>
        <v/>
      </c>
      <c r="Z88" s="13"/>
      <c r="AA88" s="9"/>
      <c r="AB88" s="7"/>
      <c r="AC88" s="7"/>
      <c r="AD88" s="7"/>
      <c r="AE88" s="7"/>
      <c r="AF88" s="14" t="str">
        <f aca="false">IF(D88="","",COUNTIF($D$2:D88,D88))</f>
        <v/>
      </c>
      <c r="AG88" s="15" t="str">
        <f aca="false" t="array" ref="AG88:AG88">IF(D88="","",IFERROR(MEDIAN(IF(($D$2:$D$401=D88)*($AF$2:$AF$401&gt;=AF88-5)*($AF$2:$AF$401&lt;=AF88-1)*($M$2:$M$401&lt;&gt;""),$M$2:$M$401)),""))</f>
        <v/>
      </c>
      <c r="AH88" s="16" t="str">
        <f aca="false">IF(AND(ISNUMBER(M88),ISNUMBER(AG88)),IF(AG88&gt;0,M88/AG88,""),"")</f>
        <v/>
      </c>
      <c r="AI88" s="15" t="str">
        <f aca="false" t="array" ref="AI88:AI88">IF(D88="","",IFERROR(MEDIAN(IF(($D$2:$D$401=D88)*($AF$2:$AF$401&gt;=AF88-5)*($AF$2:$AF$401&lt;=AF88-1)*($N$2:$N$401&lt;&gt;""),$N$2:$N$401)),""))</f>
        <v/>
      </c>
      <c r="AJ88" s="16" t="str">
        <f aca="false">IF(AND(ISNUMBER(N88),ISNUMBER(AI88)),IF(AI88&gt;0,N88/AI88,""),"")</f>
        <v/>
      </c>
      <c r="AK88" s="12" t="str">
        <f aca="false" t="array" ref="AK88:AK88">IF(D88="","",IFERROR(MEDIAN(IF(($D$2:$D$401=D88)*ISNUMBER($R$2:$R$401),$R$2:$R$401)),""))</f>
        <v/>
      </c>
      <c r="AL88" s="17" t="str">
        <f aca="false">IF(ISNUMBER(AJ88),IF(AND(AJ88&gt;=Resumen!$C$5,OR(NOT(ISNUMBER(R88)),NOT(ISNUMBER(AK88)),R88&gt;=AK88)),"Ganador",IF(AJ88&lt;=Resumen!$C$6,"Perdedor","Normal")),IF(ISNUMBER(AH88),IF(AH88&gt;=Resumen!$C$5,"Ganador (7 d, provisional)",IF(AH88&lt;=Resumen!$C$6,"Perdedor (7 d, provisional)","Normal (7 d, provisional)")),""))</f>
        <v/>
      </c>
      <c r="AM88" s="18" t="str">
        <f aca="false">IF(AND(ISNUMBER(Z88),ISNUMBER(N88)),IF(N88&gt;0,Z88/N88*1000,""),"")</f>
        <v/>
      </c>
      <c r="AN88" s="19" t="str">
        <f aca="false">IF(AND(ISNUMBER(U88),ISNUMBER(N88)),IF(N88&gt;0,U88/N88*1000,""),"")</f>
        <v/>
      </c>
    </row>
    <row r="89" customFormat="false" ht="15" hidden="false" customHeight="false" outlineLevel="0" collapsed="false">
      <c r="A89" s="7"/>
      <c r="B89" s="7"/>
      <c r="C89" s="8"/>
      <c r="D89" s="7"/>
      <c r="E89" s="7"/>
      <c r="F89" s="7"/>
      <c r="G89" s="7"/>
      <c r="H89" s="7"/>
      <c r="I89" s="7"/>
      <c r="J89" s="7"/>
      <c r="K89" s="9"/>
      <c r="L89" s="10"/>
      <c r="M89" s="10"/>
      <c r="N89" s="10"/>
      <c r="O89" s="10"/>
      <c r="P89" s="11"/>
      <c r="Q89" s="9"/>
      <c r="R89" s="12" t="str">
        <f aca="false">IF(AND(ISNUMBER(K89),ISNUMBER(Q89),K89&gt;0),Q89/K89,"")</f>
        <v/>
      </c>
      <c r="S89" s="11"/>
      <c r="T89" s="9"/>
      <c r="U89" s="10"/>
      <c r="V89" s="11"/>
      <c r="W89" s="11"/>
      <c r="X89" s="11"/>
      <c r="Y89" s="12" t="str">
        <f aca="false">IF(COUNT(V89:X89)=0,"",MAX(0,1-SUM(V89:X89)))</f>
        <v/>
      </c>
      <c r="Z89" s="13"/>
      <c r="AA89" s="9"/>
      <c r="AB89" s="7"/>
      <c r="AC89" s="7"/>
      <c r="AD89" s="7"/>
      <c r="AE89" s="7"/>
      <c r="AF89" s="14" t="str">
        <f aca="false">IF(D89="","",COUNTIF($D$2:D89,D89))</f>
        <v/>
      </c>
      <c r="AG89" s="15" t="str">
        <f aca="false" t="array" ref="AG89:AG89">IF(D89="","",IFERROR(MEDIAN(IF(($D$2:$D$401=D89)*($AF$2:$AF$401&gt;=AF89-5)*($AF$2:$AF$401&lt;=AF89-1)*($M$2:$M$401&lt;&gt;""),$M$2:$M$401)),""))</f>
        <v/>
      </c>
      <c r="AH89" s="16" t="str">
        <f aca="false">IF(AND(ISNUMBER(M89),ISNUMBER(AG89)),IF(AG89&gt;0,M89/AG89,""),"")</f>
        <v/>
      </c>
      <c r="AI89" s="15" t="str">
        <f aca="false" t="array" ref="AI89:AI89">IF(D89="","",IFERROR(MEDIAN(IF(($D$2:$D$401=D89)*($AF$2:$AF$401&gt;=AF89-5)*($AF$2:$AF$401&lt;=AF89-1)*($N$2:$N$401&lt;&gt;""),$N$2:$N$401)),""))</f>
        <v/>
      </c>
      <c r="AJ89" s="16" t="str">
        <f aca="false">IF(AND(ISNUMBER(N89),ISNUMBER(AI89)),IF(AI89&gt;0,N89/AI89,""),"")</f>
        <v/>
      </c>
      <c r="AK89" s="12" t="str">
        <f aca="false" t="array" ref="AK89:AK89">IF(D89="","",IFERROR(MEDIAN(IF(($D$2:$D$401=D89)*ISNUMBER($R$2:$R$401),$R$2:$R$401)),""))</f>
        <v/>
      </c>
      <c r="AL89" s="17" t="str">
        <f aca="false">IF(ISNUMBER(AJ89),IF(AND(AJ89&gt;=Resumen!$C$5,OR(NOT(ISNUMBER(R89)),NOT(ISNUMBER(AK89)),R89&gt;=AK89)),"Ganador",IF(AJ89&lt;=Resumen!$C$6,"Perdedor","Normal")),IF(ISNUMBER(AH89),IF(AH89&gt;=Resumen!$C$5,"Ganador (7 d, provisional)",IF(AH89&lt;=Resumen!$C$6,"Perdedor (7 d, provisional)","Normal (7 d, provisional)")),""))</f>
        <v/>
      </c>
      <c r="AM89" s="18" t="str">
        <f aca="false">IF(AND(ISNUMBER(Z89),ISNUMBER(N89)),IF(N89&gt;0,Z89/N89*1000,""),"")</f>
        <v/>
      </c>
      <c r="AN89" s="19" t="str">
        <f aca="false">IF(AND(ISNUMBER(U89),ISNUMBER(N89)),IF(N89&gt;0,U89/N89*1000,""),"")</f>
        <v/>
      </c>
    </row>
    <row r="90" customFormat="false" ht="15" hidden="false" customHeight="false" outlineLevel="0" collapsed="false">
      <c r="A90" s="7"/>
      <c r="B90" s="7"/>
      <c r="C90" s="8"/>
      <c r="D90" s="7"/>
      <c r="E90" s="7"/>
      <c r="F90" s="7"/>
      <c r="G90" s="7"/>
      <c r="H90" s="7"/>
      <c r="I90" s="7"/>
      <c r="J90" s="7"/>
      <c r="K90" s="9"/>
      <c r="L90" s="10"/>
      <c r="M90" s="10"/>
      <c r="N90" s="10"/>
      <c r="O90" s="10"/>
      <c r="P90" s="11"/>
      <c r="Q90" s="9"/>
      <c r="R90" s="12" t="str">
        <f aca="false">IF(AND(ISNUMBER(K90),ISNUMBER(Q90),K90&gt;0),Q90/K90,"")</f>
        <v/>
      </c>
      <c r="S90" s="11"/>
      <c r="T90" s="9"/>
      <c r="U90" s="10"/>
      <c r="V90" s="11"/>
      <c r="W90" s="11"/>
      <c r="X90" s="11"/>
      <c r="Y90" s="12" t="str">
        <f aca="false">IF(COUNT(V90:X90)=0,"",MAX(0,1-SUM(V90:X90)))</f>
        <v/>
      </c>
      <c r="Z90" s="13"/>
      <c r="AA90" s="9"/>
      <c r="AB90" s="7"/>
      <c r="AC90" s="7"/>
      <c r="AD90" s="7"/>
      <c r="AE90" s="7"/>
      <c r="AF90" s="14" t="str">
        <f aca="false">IF(D90="","",COUNTIF($D$2:D90,D90))</f>
        <v/>
      </c>
      <c r="AG90" s="15" t="str">
        <f aca="false" t="array" ref="AG90:AG90">IF(D90="","",IFERROR(MEDIAN(IF(($D$2:$D$401=D90)*($AF$2:$AF$401&gt;=AF90-5)*($AF$2:$AF$401&lt;=AF90-1)*($M$2:$M$401&lt;&gt;""),$M$2:$M$401)),""))</f>
        <v/>
      </c>
      <c r="AH90" s="16" t="str">
        <f aca="false">IF(AND(ISNUMBER(M90),ISNUMBER(AG90)),IF(AG90&gt;0,M90/AG90,""),"")</f>
        <v/>
      </c>
      <c r="AI90" s="15" t="str">
        <f aca="false" t="array" ref="AI90:AI90">IF(D90="","",IFERROR(MEDIAN(IF(($D$2:$D$401=D90)*($AF$2:$AF$401&gt;=AF90-5)*($AF$2:$AF$401&lt;=AF90-1)*($N$2:$N$401&lt;&gt;""),$N$2:$N$401)),""))</f>
        <v/>
      </c>
      <c r="AJ90" s="16" t="str">
        <f aca="false">IF(AND(ISNUMBER(N90),ISNUMBER(AI90)),IF(AI90&gt;0,N90/AI90,""),"")</f>
        <v/>
      </c>
      <c r="AK90" s="12" t="str">
        <f aca="false" t="array" ref="AK90:AK90">IF(D90="","",IFERROR(MEDIAN(IF(($D$2:$D$401=D90)*ISNUMBER($R$2:$R$401),$R$2:$R$401)),""))</f>
        <v/>
      </c>
      <c r="AL90" s="17" t="str">
        <f aca="false">IF(ISNUMBER(AJ90),IF(AND(AJ90&gt;=Resumen!$C$5,OR(NOT(ISNUMBER(R90)),NOT(ISNUMBER(AK90)),R90&gt;=AK90)),"Ganador",IF(AJ90&lt;=Resumen!$C$6,"Perdedor","Normal")),IF(ISNUMBER(AH90),IF(AH90&gt;=Resumen!$C$5,"Ganador (7 d, provisional)",IF(AH90&lt;=Resumen!$C$6,"Perdedor (7 d, provisional)","Normal (7 d, provisional)")),""))</f>
        <v/>
      </c>
      <c r="AM90" s="18" t="str">
        <f aca="false">IF(AND(ISNUMBER(Z90),ISNUMBER(N90)),IF(N90&gt;0,Z90/N90*1000,""),"")</f>
        <v/>
      </c>
      <c r="AN90" s="19" t="str">
        <f aca="false">IF(AND(ISNUMBER(U90),ISNUMBER(N90)),IF(N90&gt;0,U90/N90*1000,""),"")</f>
        <v/>
      </c>
    </row>
    <row r="91" customFormat="false" ht="15" hidden="false" customHeight="false" outlineLevel="0" collapsed="false">
      <c r="A91" s="7"/>
      <c r="B91" s="7"/>
      <c r="C91" s="8"/>
      <c r="D91" s="7"/>
      <c r="E91" s="7"/>
      <c r="F91" s="7"/>
      <c r="G91" s="7"/>
      <c r="H91" s="7"/>
      <c r="I91" s="7"/>
      <c r="J91" s="7"/>
      <c r="K91" s="9"/>
      <c r="L91" s="10"/>
      <c r="M91" s="10"/>
      <c r="N91" s="10"/>
      <c r="O91" s="10"/>
      <c r="P91" s="11"/>
      <c r="Q91" s="9"/>
      <c r="R91" s="12" t="str">
        <f aca="false">IF(AND(ISNUMBER(K91),ISNUMBER(Q91),K91&gt;0),Q91/K91,"")</f>
        <v/>
      </c>
      <c r="S91" s="11"/>
      <c r="T91" s="9"/>
      <c r="U91" s="10"/>
      <c r="V91" s="11"/>
      <c r="W91" s="11"/>
      <c r="X91" s="11"/>
      <c r="Y91" s="12" t="str">
        <f aca="false">IF(COUNT(V91:X91)=0,"",MAX(0,1-SUM(V91:X91)))</f>
        <v/>
      </c>
      <c r="Z91" s="13"/>
      <c r="AA91" s="9"/>
      <c r="AB91" s="7"/>
      <c r="AC91" s="7"/>
      <c r="AD91" s="7"/>
      <c r="AE91" s="7"/>
      <c r="AF91" s="14" t="str">
        <f aca="false">IF(D91="","",COUNTIF($D$2:D91,D91))</f>
        <v/>
      </c>
      <c r="AG91" s="15" t="str">
        <f aca="false" t="array" ref="AG91:AG91">IF(D91="","",IFERROR(MEDIAN(IF(($D$2:$D$401=D91)*($AF$2:$AF$401&gt;=AF91-5)*($AF$2:$AF$401&lt;=AF91-1)*($M$2:$M$401&lt;&gt;""),$M$2:$M$401)),""))</f>
        <v/>
      </c>
      <c r="AH91" s="16" t="str">
        <f aca="false">IF(AND(ISNUMBER(M91),ISNUMBER(AG91)),IF(AG91&gt;0,M91/AG91,""),"")</f>
        <v/>
      </c>
      <c r="AI91" s="15" t="str">
        <f aca="false" t="array" ref="AI91:AI91">IF(D91="","",IFERROR(MEDIAN(IF(($D$2:$D$401=D91)*($AF$2:$AF$401&gt;=AF91-5)*($AF$2:$AF$401&lt;=AF91-1)*($N$2:$N$401&lt;&gt;""),$N$2:$N$401)),""))</f>
        <v/>
      </c>
      <c r="AJ91" s="16" t="str">
        <f aca="false">IF(AND(ISNUMBER(N91),ISNUMBER(AI91)),IF(AI91&gt;0,N91/AI91,""),"")</f>
        <v/>
      </c>
      <c r="AK91" s="12" t="str">
        <f aca="false" t="array" ref="AK91:AK91">IF(D91="","",IFERROR(MEDIAN(IF(($D$2:$D$401=D91)*ISNUMBER($R$2:$R$401),$R$2:$R$401)),""))</f>
        <v/>
      </c>
      <c r="AL91" s="17" t="str">
        <f aca="false">IF(ISNUMBER(AJ91),IF(AND(AJ91&gt;=Resumen!$C$5,OR(NOT(ISNUMBER(R91)),NOT(ISNUMBER(AK91)),R91&gt;=AK91)),"Ganador",IF(AJ91&lt;=Resumen!$C$6,"Perdedor","Normal")),IF(ISNUMBER(AH91),IF(AH91&gt;=Resumen!$C$5,"Ganador (7 d, provisional)",IF(AH91&lt;=Resumen!$C$6,"Perdedor (7 d, provisional)","Normal (7 d, provisional)")),""))</f>
        <v/>
      </c>
      <c r="AM91" s="18" t="str">
        <f aca="false">IF(AND(ISNUMBER(Z91),ISNUMBER(N91)),IF(N91&gt;0,Z91/N91*1000,""),"")</f>
        <v/>
      </c>
      <c r="AN91" s="19" t="str">
        <f aca="false">IF(AND(ISNUMBER(U91),ISNUMBER(N91)),IF(N91&gt;0,U91/N91*1000,""),"")</f>
        <v/>
      </c>
    </row>
    <row r="92" customFormat="false" ht="15" hidden="false" customHeight="false" outlineLevel="0" collapsed="false">
      <c r="A92" s="7"/>
      <c r="B92" s="7"/>
      <c r="C92" s="8"/>
      <c r="D92" s="7"/>
      <c r="E92" s="7"/>
      <c r="F92" s="7"/>
      <c r="G92" s="7"/>
      <c r="H92" s="7"/>
      <c r="I92" s="7"/>
      <c r="J92" s="7"/>
      <c r="K92" s="9"/>
      <c r="L92" s="10"/>
      <c r="M92" s="10"/>
      <c r="N92" s="10"/>
      <c r="O92" s="10"/>
      <c r="P92" s="11"/>
      <c r="Q92" s="9"/>
      <c r="R92" s="12" t="str">
        <f aca="false">IF(AND(ISNUMBER(K92),ISNUMBER(Q92),K92&gt;0),Q92/K92,"")</f>
        <v/>
      </c>
      <c r="S92" s="11"/>
      <c r="T92" s="9"/>
      <c r="U92" s="10"/>
      <c r="V92" s="11"/>
      <c r="W92" s="11"/>
      <c r="X92" s="11"/>
      <c r="Y92" s="12" t="str">
        <f aca="false">IF(COUNT(V92:X92)=0,"",MAX(0,1-SUM(V92:X92)))</f>
        <v/>
      </c>
      <c r="Z92" s="13"/>
      <c r="AA92" s="9"/>
      <c r="AB92" s="7"/>
      <c r="AC92" s="7"/>
      <c r="AD92" s="7"/>
      <c r="AE92" s="7"/>
      <c r="AF92" s="14" t="str">
        <f aca="false">IF(D92="","",COUNTIF($D$2:D92,D92))</f>
        <v/>
      </c>
      <c r="AG92" s="15" t="str">
        <f aca="false" t="array" ref="AG92:AG92">IF(D92="","",IFERROR(MEDIAN(IF(($D$2:$D$401=D92)*($AF$2:$AF$401&gt;=AF92-5)*($AF$2:$AF$401&lt;=AF92-1)*($M$2:$M$401&lt;&gt;""),$M$2:$M$401)),""))</f>
        <v/>
      </c>
      <c r="AH92" s="16" t="str">
        <f aca="false">IF(AND(ISNUMBER(M92),ISNUMBER(AG92)),IF(AG92&gt;0,M92/AG92,""),"")</f>
        <v/>
      </c>
      <c r="AI92" s="15" t="str">
        <f aca="false" t="array" ref="AI92:AI92">IF(D92="","",IFERROR(MEDIAN(IF(($D$2:$D$401=D92)*($AF$2:$AF$401&gt;=AF92-5)*($AF$2:$AF$401&lt;=AF92-1)*($N$2:$N$401&lt;&gt;""),$N$2:$N$401)),""))</f>
        <v/>
      </c>
      <c r="AJ92" s="16" t="str">
        <f aca="false">IF(AND(ISNUMBER(N92),ISNUMBER(AI92)),IF(AI92&gt;0,N92/AI92,""),"")</f>
        <v/>
      </c>
      <c r="AK92" s="12" t="str">
        <f aca="false" t="array" ref="AK92:AK92">IF(D92="","",IFERROR(MEDIAN(IF(($D$2:$D$401=D92)*ISNUMBER($R$2:$R$401),$R$2:$R$401)),""))</f>
        <v/>
      </c>
      <c r="AL92" s="17" t="str">
        <f aca="false">IF(ISNUMBER(AJ92),IF(AND(AJ92&gt;=Resumen!$C$5,OR(NOT(ISNUMBER(R92)),NOT(ISNUMBER(AK92)),R92&gt;=AK92)),"Ganador",IF(AJ92&lt;=Resumen!$C$6,"Perdedor","Normal")),IF(ISNUMBER(AH92),IF(AH92&gt;=Resumen!$C$5,"Ganador (7 d, provisional)",IF(AH92&lt;=Resumen!$C$6,"Perdedor (7 d, provisional)","Normal (7 d, provisional)")),""))</f>
        <v/>
      </c>
      <c r="AM92" s="18" t="str">
        <f aca="false">IF(AND(ISNUMBER(Z92),ISNUMBER(N92)),IF(N92&gt;0,Z92/N92*1000,""),"")</f>
        <v/>
      </c>
      <c r="AN92" s="19" t="str">
        <f aca="false">IF(AND(ISNUMBER(U92),ISNUMBER(N92)),IF(N92&gt;0,U92/N92*1000,""),"")</f>
        <v/>
      </c>
    </row>
    <row r="93" customFormat="false" ht="15" hidden="false" customHeight="false" outlineLevel="0" collapsed="false">
      <c r="A93" s="7"/>
      <c r="B93" s="7"/>
      <c r="C93" s="8"/>
      <c r="D93" s="7"/>
      <c r="E93" s="7"/>
      <c r="F93" s="7"/>
      <c r="G93" s="7"/>
      <c r="H93" s="7"/>
      <c r="I93" s="7"/>
      <c r="J93" s="7"/>
      <c r="K93" s="9"/>
      <c r="L93" s="10"/>
      <c r="M93" s="10"/>
      <c r="N93" s="10"/>
      <c r="O93" s="10"/>
      <c r="P93" s="11"/>
      <c r="Q93" s="9"/>
      <c r="R93" s="12" t="str">
        <f aca="false">IF(AND(ISNUMBER(K93),ISNUMBER(Q93),K93&gt;0),Q93/K93,"")</f>
        <v/>
      </c>
      <c r="S93" s="11"/>
      <c r="T93" s="9"/>
      <c r="U93" s="10"/>
      <c r="V93" s="11"/>
      <c r="W93" s="11"/>
      <c r="X93" s="11"/>
      <c r="Y93" s="12" t="str">
        <f aca="false">IF(COUNT(V93:X93)=0,"",MAX(0,1-SUM(V93:X93)))</f>
        <v/>
      </c>
      <c r="Z93" s="13"/>
      <c r="AA93" s="9"/>
      <c r="AB93" s="7"/>
      <c r="AC93" s="7"/>
      <c r="AD93" s="7"/>
      <c r="AE93" s="7"/>
      <c r="AF93" s="14" t="str">
        <f aca="false">IF(D93="","",COUNTIF($D$2:D93,D93))</f>
        <v/>
      </c>
      <c r="AG93" s="15" t="str">
        <f aca="false" t="array" ref="AG93:AG93">IF(D93="","",IFERROR(MEDIAN(IF(($D$2:$D$401=D93)*($AF$2:$AF$401&gt;=AF93-5)*($AF$2:$AF$401&lt;=AF93-1)*($M$2:$M$401&lt;&gt;""),$M$2:$M$401)),""))</f>
        <v/>
      </c>
      <c r="AH93" s="16" t="str">
        <f aca="false">IF(AND(ISNUMBER(M93),ISNUMBER(AG93)),IF(AG93&gt;0,M93/AG93,""),"")</f>
        <v/>
      </c>
      <c r="AI93" s="15" t="str">
        <f aca="false" t="array" ref="AI93:AI93">IF(D93="","",IFERROR(MEDIAN(IF(($D$2:$D$401=D93)*($AF$2:$AF$401&gt;=AF93-5)*($AF$2:$AF$401&lt;=AF93-1)*($N$2:$N$401&lt;&gt;""),$N$2:$N$401)),""))</f>
        <v/>
      </c>
      <c r="AJ93" s="16" t="str">
        <f aca="false">IF(AND(ISNUMBER(N93),ISNUMBER(AI93)),IF(AI93&gt;0,N93/AI93,""),"")</f>
        <v/>
      </c>
      <c r="AK93" s="12" t="str">
        <f aca="false" t="array" ref="AK93:AK93">IF(D93="","",IFERROR(MEDIAN(IF(($D$2:$D$401=D93)*ISNUMBER($R$2:$R$401),$R$2:$R$401)),""))</f>
        <v/>
      </c>
      <c r="AL93" s="17" t="str">
        <f aca="false">IF(ISNUMBER(AJ93),IF(AND(AJ93&gt;=Resumen!$C$5,OR(NOT(ISNUMBER(R93)),NOT(ISNUMBER(AK93)),R93&gt;=AK93)),"Ganador",IF(AJ93&lt;=Resumen!$C$6,"Perdedor","Normal")),IF(ISNUMBER(AH93),IF(AH93&gt;=Resumen!$C$5,"Ganador (7 d, provisional)",IF(AH93&lt;=Resumen!$C$6,"Perdedor (7 d, provisional)","Normal (7 d, provisional)")),""))</f>
        <v/>
      </c>
      <c r="AM93" s="18" t="str">
        <f aca="false">IF(AND(ISNUMBER(Z93),ISNUMBER(N93)),IF(N93&gt;0,Z93/N93*1000,""),"")</f>
        <v/>
      </c>
      <c r="AN93" s="19" t="str">
        <f aca="false">IF(AND(ISNUMBER(U93),ISNUMBER(N93)),IF(N93&gt;0,U93/N93*1000,""),"")</f>
        <v/>
      </c>
    </row>
    <row r="94" customFormat="false" ht="15" hidden="false" customHeight="false" outlineLevel="0" collapsed="false">
      <c r="A94" s="7"/>
      <c r="B94" s="7"/>
      <c r="C94" s="8"/>
      <c r="D94" s="7"/>
      <c r="E94" s="7"/>
      <c r="F94" s="7"/>
      <c r="G94" s="7"/>
      <c r="H94" s="7"/>
      <c r="I94" s="7"/>
      <c r="J94" s="7"/>
      <c r="K94" s="9"/>
      <c r="L94" s="10"/>
      <c r="M94" s="10"/>
      <c r="N94" s="10"/>
      <c r="O94" s="10"/>
      <c r="P94" s="11"/>
      <c r="Q94" s="9"/>
      <c r="R94" s="12" t="str">
        <f aca="false">IF(AND(ISNUMBER(K94),ISNUMBER(Q94),K94&gt;0),Q94/K94,"")</f>
        <v/>
      </c>
      <c r="S94" s="11"/>
      <c r="T94" s="9"/>
      <c r="U94" s="10"/>
      <c r="V94" s="11"/>
      <c r="W94" s="11"/>
      <c r="X94" s="11"/>
      <c r="Y94" s="12" t="str">
        <f aca="false">IF(COUNT(V94:X94)=0,"",MAX(0,1-SUM(V94:X94)))</f>
        <v/>
      </c>
      <c r="Z94" s="13"/>
      <c r="AA94" s="9"/>
      <c r="AB94" s="7"/>
      <c r="AC94" s="7"/>
      <c r="AD94" s="7"/>
      <c r="AE94" s="7"/>
      <c r="AF94" s="14" t="str">
        <f aca="false">IF(D94="","",COUNTIF($D$2:D94,D94))</f>
        <v/>
      </c>
      <c r="AG94" s="15" t="str">
        <f aca="false" t="array" ref="AG94:AG94">IF(D94="","",IFERROR(MEDIAN(IF(($D$2:$D$401=D94)*($AF$2:$AF$401&gt;=AF94-5)*($AF$2:$AF$401&lt;=AF94-1)*($M$2:$M$401&lt;&gt;""),$M$2:$M$401)),""))</f>
        <v/>
      </c>
      <c r="AH94" s="16" t="str">
        <f aca="false">IF(AND(ISNUMBER(M94),ISNUMBER(AG94)),IF(AG94&gt;0,M94/AG94,""),"")</f>
        <v/>
      </c>
      <c r="AI94" s="15" t="str">
        <f aca="false" t="array" ref="AI94:AI94">IF(D94="","",IFERROR(MEDIAN(IF(($D$2:$D$401=D94)*($AF$2:$AF$401&gt;=AF94-5)*($AF$2:$AF$401&lt;=AF94-1)*($N$2:$N$401&lt;&gt;""),$N$2:$N$401)),""))</f>
        <v/>
      </c>
      <c r="AJ94" s="16" t="str">
        <f aca="false">IF(AND(ISNUMBER(N94),ISNUMBER(AI94)),IF(AI94&gt;0,N94/AI94,""),"")</f>
        <v/>
      </c>
      <c r="AK94" s="12" t="str">
        <f aca="false" t="array" ref="AK94:AK94">IF(D94="","",IFERROR(MEDIAN(IF(($D$2:$D$401=D94)*ISNUMBER($R$2:$R$401),$R$2:$R$401)),""))</f>
        <v/>
      </c>
      <c r="AL94" s="17" t="str">
        <f aca="false">IF(ISNUMBER(AJ94),IF(AND(AJ94&gt;=Resumen!$C$5,OR(NOT(ISNUMBER(R94)),NOT(ISNUMBER(AK94)),R94&gt;=AK94)),"Ganador",IF(AJ94&lt;=Resumen!$C$6,"Perdedor","Normal")),IF(ISNUMBER(AH94),IF(AH94&gt;=Resumen!$C$5,"Ganador (7 d, provisional)",IF(AH94&lt;=Resumen!$C$6,"Perdedor (7 d, provisional)","Normal (7 d, provisional)")),""))</f>
        <v/>
      </c>
      <c r="AM94" s="18" t="str">
        <f aca="false">IF(AND(ISNUMBER(Z94),ISNUMBER(N94)),IF(N94&gt;0,Z94/N94*1000,""),"")</f>
        <v/>
      </c>
      <c r="AN94" s="19" t="str">
        <f aca="false">IF(AND(ISNUMBER(U94),ISNUMBER(N94)),IF(N94&gt;0,U94/N94*1000,""),"")</f>
        <v/>
      </c>
    </row>
    <row r="95" customFormat="false" ht="15" hidden="false" customHeight="false" outlineLevel="0" collapsed="false">
      <c r="A95" s="7"/>
      <c r="B95" s="7"/>
      <c r="C95" s="8"/>
      <c r="D95" s="7"/>
      <c r="E95" s="7"/>
      <c r="F95" s="7"/>
      <c r="G95" s="7"/>
      <c r="H95" s="7"/>
      <c r="I95" s="7"/>
      <c r="J95" s="7"/>
      <c r="K95" s="9"/>
      <c r="L95" s="10"/>
      <c r="M95" s="10"/>
      <c r="N95" s="10"/>
      <c r="O95" s="10"/>
      <c r="P95" s="11"/>
      <c r="Q95" s="9"/>
      <c r="R95" s="12" t="str">
        <f aca="false">IF(AND(ISNUMBER(K95),ISNUMBER(Q95),K95&gt;0),Q95/K95,"")</f>
        <v/>
      </c>
      <c r="S95" s="11"/>
      <c r="T95" s="9"/>
      <c r="U95" s="10"/>
      <c r="V95" s="11"/>
      <c r="W95" s="11"/>
      <c r="X95" s="11"/>
      <c r="Y95" s="12" t="str">
        <f aca="false">IF(COUNT(V95:X95)=0,"",MAX(0,1-SUM(V95:X95)))</f>
        <v/>
      </c>
      <c r="Z95" s="13"/>
      <c r="AA95" s="9"/>
      <c r="AB95" s="7"/>
      <c r="AC95" s="7"/>
      <c r="AD95" s="7"/>
      <c r="AE95" s="7"/>
      <c r="AF95" s="14" t="str">
        <f aca="false">IF(D95="","",COUNTIF($D$2:D95,D95))</f>
        <v/>
      </c>
      <c r="AG95" s="15" t="str">
        <f aca="false" t="array" ref="AG95:AG95">IF(D95="","",IFERROR(MEDIAN(IF(($D$2:$D$401=D95)*($AF$2:$AF$401&gt;=AF95-5)*($AF$2:$AF$401&lt;=AF95-1)*($M$2:$M$401&lt;&gt;""),$M$2:$M$401)),""))</f>
        <v/>
      </c>
      <c r="AH95" s="16" t="str">
        <f aca="false">IF(AND(ISNUMBER(M95),ISNUMBER(AG95)),IF(AG95&gt;0,M95/AG95,""),"")</f>
        <v/>
      </c>
      <c r="AI95" s="15" t="str">
        <f aca="false" t="array" ref="AI95:AI95">IF(D95="","",IFERROR(MEDIAN(IF(($D$2:$D$401=D95)*($AF$2:$AF$401&gt;=AF95-5)*($AF$2:$AF$401&lt;=AF95-1)*($N$2:$N$401&lt;&gt;""),$N$2:$N$401)),""))</f>
        <v/>
      </c>
      <c r="AJ95" s="16" t="str">
        <f aca="false">IF(AND(ISNUMBER(N95),ISNUMBER(AI95)),IF(AI95&gt;0,N95/AI95,""),"")</f>
        <v/>
      </c>
      <c r="AK95" s="12" t="str">
        <f aca="false" t="array" ref="AK95:AK95">IF(D95="","",IFERROR(MEDIAN(IF(($D$2:$D$401=D95)*ISNUMBER($R$2:$R$401),$R$2:$R$401)),""))</f>
        <v/>
      </c>
      <c r="AL95" s="17" t="str">
        <f aca="false">IF(ISNUMBER(AJ95),IF(AND(AJ95&gt;=Resumen!$C$5,OR(NOT(ISNUMBER(R95)),NOT(ISNUMBER(AK95)),R95&gt;=AK95)),"Ganador",IF(AJ95&lt;=Resumen!$C$6,"Perdedor","Normal")),IF(ISNUMBER(AH95),IF(AH95&gt;=Resumen!$C$5,"Ganador (7 d, provisional)",IF(AH95&lt;=Resumen!$C$6,"Perdedor (7 d, provisional)","Normal (7 d, provisional)")),""))</f>
        <v/>
      </c>
      <c r="AM95" s="18" t="str">
        <f aca="false">IF(AND(ISNUMBER(Z95),ISNUMBER(N95)),IF(N95&gt;0,Z95/N95*1000,""),"")</f>
        <v/>
      </c>
      <c r="AN95" s="19" t="str">
        <f aca="false">IF(AND(ISNUMBER(U95),ISNUMBER(N95)),IF(N95&gt;0,U95/N95*1000,""),"")</f>
        <v/>
      </c>
    </row>
    <row r="96" customFormat="false" ht="15" hidden="false" customHeight="false" outlineLevel="0" collapsed="false">
      <c r="A96" s="7"/>
      <c r="B96" s="7"/>
      <c r="C96" s="8"/>
      <c r="D96" s="7"/>
      <c r="E96" s="7"/>
      <c r="F96" s="7"/>
      <c r="G96" s="7"/>
      <c r="H96" s="7"/>
      <c r="I96" s="7"/>
      <c r="J96" s="7"/>
      <c r="K96" s="9"/>
      <c r="L96" s="10"/>
      <c r="M96" s="10"/>
      <c r="N96" s="10"/>
      <c r="O96" s="10"/>
      <c r="P96" s="11"/>
      <c r="Q96" s="9"/>
      <c r="R96" s="12" t="str">
        <f aca="false">IF(AND(ISNUMBER(K96),ISNUMBER(Q96),K96&gt;0),Q96/K96,"")</f>
        <v/>
      </c>
      <c r="S96" s="11"/>
      <c r="T96" s="9"/>
      <c r="U96" s="10"/>
      <c r="V96" s="11"/>
      <c r="W96" s="11"/>
      <c r="X96" s="11"/>
      <c r="Y96" s="12" t="str">
        <f aca="false">IF(COUNT(V96:X96)=0,"",MAX(0,1-SUM(V96:X96)))</f>
        <v/>
      </c>
      <c r="Z96" s="13"/>
      <c r="AA96" s="9"/>
      <c r="AB96" s="7"/>
      <c r="AC96" s="7"/>
      <c r="AD96" s="7"/>
      <c r="AE96" s="7"/>
      <c r="AF96" s="14" t="str">
        <f aca="false">IF(D96="","",COUNTIF($D$2:D96,D96))</f>
        <v/>
      </c>
      <c r="AG96" s="15" t="str">
        <f aca="false" t="array" ref="AG96:AG96">IF(D96="","",IFERROR(MEDIAN(IF(($D$2:$D$401=D96)*($AF$2:$AF$401&gt;=AF96-5)*($AF$2:$AF$401&lt;=AF96-1)*($M$2:$M$401&lt;&gt;""),$M$2:$M$401)),""))</f>
        <v/>
      </c>
      <c r="AH96" s="16" t="str">
        <f aca="false">IF(AND(ISNUMBER(M96),ISNUMBER(AG96)),IF(AG96&gt;0,M96/AG96,""),"")</f>
        <v/>
      </c>
      <c r="AI96" s="15" t="str">
        <f aca="false" t="array" ref="AI96:AI96">IF(D96="","",IFERROR(MEDIAN(IF(($D$2:$D$401=D96)*($AF$2:$AF$401&gt;=AF96-5)*($AF$2:$AF$401&lt;=AF96-1)*($N$2:$N$401&lt;&gt;""),$N$2:$N$401)),""))</f>
        <v/>
      </c>
      <c r="AJ96" s="16" t="str">
        <f aca="false">IF(AND(ISNUMBER(N96),ISNUMBER(AI96)),IF(AI96&gt;0,N96/AI96,""),"")</f>
        <v/>
      </c>
      <c r="AK96" s="12" t="str">
        <f aca="false" t="array" ref="AK96:AK96">IF(D96="","",IFERROR(MEDIAN(IF(($D$2:$D$401=D96)*ISNUMBER($R$2:$R$401),$R$2:$R$401)),""))</f>
        <v/>
      </c>
      <c r="AL96" s="17" t="str">
        <f aca="false">IF(ISNUMBER(AJ96),IF(AND(AJ96&gt;=Resumen!$C$5,OR(NOT(ISNUMBER(R96)),NOT(ISNUMBER(AK96)),R96&gt;=AK96)),"Ganador",IF(AJ96&lt;=Resumen!$C$6,"Perdedor","Normal")),IF(ISNUMBER(AH96),IF(AH96&gt;=Resumen!$C$5,"Ganador (7 d, provisional)",IF(AH96&lt;=Resumen!$C$6,"Perdedor (7 d, provisional)","Normal (7 d, provisional)")),""))</f>
        <v/>
      </c>
      <c r="AM96" s="18" t="str">
        <f aca="false">IF(AND(ISNUMBER(Z96),ISNUMBER(N96)),IF(N96&gt;0,Z96/N96*1000,""),"")</f>
        <v/>
      </c>
      <c r="AN96" s="19" t="str">
        <f aca="false">IF(AND(ISNUMBER(U96),ISNUMBER(N96)),IF(N96&gt;0,U96/N96*1000,""),"")</f>
        <v/>
      </c>
    </row>
    <row r="97" customFormat="false" ht="15" hidden="false" customHeight="false" outlineLevel="0" collapsed="false">
      <c r="A97" s="7"/>
      <c r="B97" s="7"/>
      <c r="C97" s="8"/>
      <c r="D97" s="7"/>
      <c r="E97" s="7"/>
      <c r="F97" s="7"/>
      <c r="G97" s="7"/>
      <c r="H97" s="7"/>
      <c r="I97" s="7"/>
      <c r="J97" s="7"/>
      <c r="K97" s="9"/>
      <c r="L97" s="10"/>
      <c r="M97" s="10"/>
      <c r="N97" s="10"/>
      <c r="O97" s="10"/>
      <c r="P97" s="11"/>
      <c r="Q97" s="9"/>
      <c r="R97" s="12" t="str">
        <f aca="false">IF(AND(ISNUMBER(K97),ISNUMBER(Q97),K97&gt;0),Q97/K97,"")</f>
        <v/>
      </c>
      <c r="S97" s="11"/>
      <c r="T97" s="9"/>
      <c r="U97" s="10"/>
      <c r="V97" s="11"/>
      <c r="W97" s="11"/>
      <c r="X97" s="11"/>
      <c r="Y97" s="12" t="str">
        <f aca="false">IF(COUNT(V97:X97)=0,"",MAX(0,1-SUM(V97:X97)))</f>
        <v/>
      </c>
      <c r="Z97" s="13"/>
      <c r="AA97" s="9"/>
      <c r="AB97" s="7"/>
      <c r="AC97" s="7"/>
      <c r="AD97" s="7"/>
      <c r="AE97" s="7"/>
      <c r="AF97" s="14" t="str">
        <f aca="false">IF(D97="","",COUNTIF($D$2:D97,D97))</f>
        <v/>
      </c>
      <c r="AG97" s="15" t="str">
        <f aca="false" t="array" ref="AG97:AG97">IF(D97="","",IFERROR(MEDIAN(IF(($D$2:$D$401=D97)*($AF$2:$AF$401&gt;=AF97-5)*($AF$2:$AF$401&lt;=AF97-1)*($M$2:$M$401&lt;&gt;""),$M$2:$M$401)),""))</f>
        <v/>
      </c>
      <c r="AH97" s="16" t="str">
        <f aca="false">IF(AND(ISNUMBER(M97),ISNUMBER(AG97)),IF(AG97&gt;0,M97/AG97,""),"")</f>
        <v/>
      </c>
      <c r="AI97" s="15" t="str">
        <f aca="false" t="array" ref="AI97:AI97">IF(D97="","",IFERROR(MEDIAN(IF(($D$2:$D$401=D97)*($AF$2:$AF$401&gt;=AF97-5)*($AF$2:$AF$401&lt;=AF97-1)*($N$2:$N$401&lt;&gt;""),$N$2:$N$401)),""))</f>
        <v/>
      </c>
      <c r="AJ97" s="16" t="str">
        <f aca="false">IF(AND(ISNUMBER(N97),ISNUMBER(AI97)),IF(AI97&gt;0,N97/AI97,""),"")</f>
        <v/>
      </c>
      <c r="AK97" s="12" t="str">
        <f aca="false" t="array" ref="AK97:AK97">IF(D97="","",IFERROR(MEDIAN(IF(($D$2:$D$401=D97)*ISNUMBER($R$2:$R$401),$R$2:$R$401)),""))</f>
        <v/>
      </c>
      <c r="AL97" s="17" t="str">
        <f aca="false">IF(ISNUMBER(AJ97),IF(AND(AJ97&gt;=Resumen!$C$5,OR(NOT(ISNUMBER(R97)),NOT(ISNUMBER(AK97)),R97&gt;=AK97)),"Ganador",IF(AJ97&lt;=Resumen!$C$6,"Perdedor","Normal")),IF(ISNUMBER(AH97),IF(AH97&gt;=Resumen!$C$5,"Ganador (7 d, provisional)",IF(AH97&lt;=Resumen!$C$6,"Perdedor (7 d, provisional)","Normal (7 d, provisional)")),""))</f>
        <v/>
      </c>
      <c r="AM97" s="18" t="str">
        <f aca="false">IF(AND(ISNUMBER(Z97),ISNUMBER(N97)),IF(N97&gt;0,Z97/N97*1000,""),"")</f>
        <v/>
      </c>
      <c r="AN97" s="19" t="str">
        <f aca="false">IF(AND(ISNUMBER(U97),ISNUMBER(N97)),IF(N97&gt;0,U97/N97*1000,""),"")</f>
        <v/>
      </c>
    </row>
    <row r="98" customFormat="false" ht="15" hidden="false" customHeight="false" outlineLevel="0" collapsed="false">
      <c r="A98" s="7"/>
      <c r="B98" s="7"/>
      <c r="C98" s="8"/>
      <c r="D98" s="7"/>
      <c r="E98" s="7"/>
      <c r="F98" s="7"/>
      <c r="G98" s="7"/>
      <c r="H98" s="7"/>
      <c r="I98" s="7"/>
      <c r="J98" s="7"/>
      <c r="K98" s="9"/>
      <c r="L98" s="10"/>
      <c r="M98" s="10"/>
      <c r="N98" s="10"/>
      <c r="O98" s="10"/>
      <c r="P98" s="11"/>
      <c r="Q98" s="9"/>
      <c r="R98" s="12" t="str">
        <f aca="false">IF(AND(ISNUMBER(K98),ISNUMBER(Q98),K98&gt;0),Q98/K98,"")</f>
        <v/>
      </c>
      <c r="S98" s="11"/>
      <c r="T98" s="9"/>
      <c r="U98" s="10"/>
      <c r="V98" s="11"/>
      <c r="W98" s="11"/>
      <c r="X98" s="11"/>
      <c r="Y98" s="12" t="str">
        <f aca="false">IF(COUNT(V98:X98)=0,"",MAX(0,1-SUM(V98:X98)))</f>
        <v/>
      </c>
      <c r="Z98" s="13"/>
      <c r="AA98" s="9"/>
      <c r="AB98" s="7"/>
      <c r="AC98" s="7"/>
      <c r="AD98" s="7"/>
      <c r="AE98" s="7"/>
      <c r="AF98" s="14" t="str">
        <f aca="false">IF(D98="","",COUNTIF($D$2:D98,D98))</f>
        <v/>
      </c>
      <c r="AG98" s="15" t="str">
        <f aca="false" t="array" ref="AG98:AG98">IF(D98="","",IFERROR(MEDIAN(IF(($D$2:$D$401=D98)*($AF$2:$AF$401&gt;=AF98-5)*($AF$2:$AF$401&lt;=AF98-1)*($M$2:$M$401&lt;&gt;""),$M$2:$M$401)),""))</f>
        <v/>
      </c>
      <c r="AH98" s="16" t="str">
        <f aca="false">IF(AND(ISNUMBER(M98),ISNUMBER(AG98)),IF(AG98&gt;0,M98/AG98,""),"")</f>
        <v/>
      </c>
      <c r="AI98" s="15" t="str">
        <f aca="false" t="array" ref="AI98:AI98">IF(D98="","",IFERROR(MEDIAN(IF(($D$2:$D$401=D98)*($AF$2:$AF$401&gt;=AF98-5)*($AF$2:$AF$401&lt;=AF98-1)*($N$2:$N$401&lt;&gt;""),$N$2:$N$401)),""))</f>
        <v/>
      </c>
      <c r="AJ98" s="16" t="str">
        <f aca="false">IF(AND(ISNUMBER(N98),ISNUMBER(AI98)),IF(AI98&gt;0,N98/AI98,""),"")</f>
        <v/>
      </c>
      <c r="AK98" s="12" t="str">
        <f aca="false" t="array" ref="AK98:AK98">IF(D98="","",IFERROR(MEDIAN(IF(($D$2:$D$401=D98)*ISNUMBER($R$2:$R$401),$R$2:$R$401)),""))</f>
        <v/>
      </c>
      <c r="AL98" s="17" t="str">
        <f aca="false">IF(ISNUMBER(AJ98),IF(AND(AJ98&gt;=Resumen!$C$5,OR(NOT(ISNUMBER(R98)),NOT(ISNUMBER(AK98)),R98&gt;=AK98)),"Ganador",IF(AJ98&lt;=Resumen!$C$6,"Perdedor","Normal")),IF(ISNUMBER(AH98),IF(AH98&gt;=Resumen!$C$5,"Ganador (7 d, provisional)",IF(AH98&lt;=Resumen!$C$6,"Perdedor (7 d, provisional)","Normal (7 d, provisional)")),""))</f>
        <v/>
      </c>
      <c r="AM98" s="18" t="str">
        <f aca="false">IF(AND(ISNUMBER(Z98),ISNUMBER(N98)),IF(N98&gt;0,Z98/N98*1000,""),"")</f>
        <v/>
      </c>
      <c r="AN98" s="19" t="str">
        <f aca="false">IF(AND(ISNUMBER(U98),ISNUMBER(N98)),IF(N98&gt;0,U98/N98*1000,""),"")</f>
        <v/>
      </c>
    </row>
    <row r="99" customFormat="false" ht="15" hidden="false" customHeight="false" outlineLevel="0" collapsed="false">
      <c r="A99" s="7"/>
      <c r="B99" s="7"/>
      <c r="C99" s="8"/>
      <c r="D99" s="7"/>
      <c r="E99" s="7"/>
      <c r="F99" s="7"/>
      <c r="G99" s="7"/>
      <c r="H99" s="7"/>
      <c r="I99" s="7"/>
      <c r="J99" s="7"/>
      <c r="K99" s="9"/>
      <c r="L99" s="10"/>
      <c r="M99" s="10"/>
      <c r="N99" s="10"/>
      <c r="O99" s="10"/>
      <c r="P99" s="11"/>
      <c r="Q99" s="9"/>
      <c r="R99" s="12" t="str">
        <f aca="false">IF(AND(ISNUMBER(K99),ISNUMBER(Q99),K99&gt;0),Q99/K99,"")</f>
        <v/>
      </c>
      <c r="S99" s="11"/>
      <c r="T99" s="9"/>
      <c r="U99" s="10"/>
      <c r="V99" s="11"/>
      <c r="W99" s="11"/>
      <c r="X99" s="11"/>
      <c r="Y99" s="12" t="str">
        <f aca="false">IF(COUNT(V99:X99)=0,"",MAX(0,1-SUM(V99:X99)))</f>
        <v/>
      </c>
      <c r="Z99" s="13"/>
      <c r="AA99" s="9"/>
      <c r="AB99" s="7"/>
      <c r="AC99" s="7"/>
      <c r="AD99" s="7"/>
      <c r="AE99" s="7"/>
      <c r="AF99" s="14" t="str">
        <f aca="false">IF(D99="","",COUNTIF($D$2:D99,D99))</f>
        <v/>
      </c>
      <c r="AG99" s="15" t="str">
        <f aca="false" t="array" ref="AG99:AG99">IF(D99="","",IFERROR(MEDIAN(IF(($D$2:$D$401=D99)*($AF$2:$AF$401&gt;=AF99-5)*($AF$2:$AF$401&lt;=AF99-1)*($M$2:$M$401&lt;&gt;""),$M$2:$M$401)),""))</f>
        <v/>
      </c>
      <c r="AH99" s="16" t="str">
        <f aca="false">IF(AND(ISNUMBER(M99),ISNUMBER(AG99)),IF(AG99&gt;0,M99/AG99,""),"")</f>
        <v/>
      </c>
      <c r="AI99" s="15" t="str">
        <f aca="false" t="array" ref="AI99:AI99">IF(D99="","",IFERROR(MEDIAN(IF(($D$2:$D$401=D99)*($AF$2:$AF$401&gt;=AF99-5)*($AF$2:$AF$401&lt;=AF99-1)*($N$2:$N$401&lt;&gt;""),$N$2:$N$401)),""))</f>
        <v/>
      </c>
      <c r="AJ99" s="16" t="str">
        <f aca="false">IF(AND(ISNUMBER(N99),ISNUMBER(AI99)),IF(AI99&gt;0,N99/AI99,""),"")</f>
        <v/>
      </c>
      <c r="AK99" s="12" t="str">
        <f aca="false" t="array" ref="AK99:AK99">IF(D99="","",IFERROR(MEDIAN(IF(($D$2:$D$401=D99)*ISNUMBER($R$2:$R$401),$R$2:$R$401)),""))</f>
        <v/>
      </c>
      <c r="AL99" s="17" t="str">
        <f aca="false">IF(ISNUMBER(AJ99),IF(AND(AJ99&gt;=Resumen!$C$5,OR(NOT(ISNUMBER(R99)),NOT(ISNUMBER(AK99)),R99&gt;=AK99)),"Ganador",IF(AJ99&lt;=Resumen!$C$6,"Perdedor","Normal")),IF(ISNUMBER(AH99),IF(AH99&gt;=Resumen!$C$5,"Ganador (7 d, provisional)",IF(AH99&lt;=Resumen!$C$6,"Perdedor (7 d, provisional)","Normal (7 d, provisional)")),""))</f>
        <v/>
      </c>
      <c r="AM99" s="18" t="str">
        <f aca="false">IF(AND(ISNUMBER(Z99),ISNUMBER(N99)),IF(N99&gt;0,Z99/N99*1000,""),"")</f>
        <v/>
      </c>
      <c r="AN99" s="19" t="str">
        <f aca="false">IF(AND(ISNUMBER(U99),ISNUMBER(N99)),IF(N99&gt;0,U99/N99*1000,""),"")</f>
        <v/>
      </c>
    </row>
    <row r="100" customFormat="false" ht="15" hidden="false" customHeight="false" outlineLevel="0" collapsed="false">
      <c r="A100" s="7"/>
      <c r="B100" s="7"/>
      <c r="C100" s="8"/>
      <c r="D100" s="7"/>
      <c r="E100" s="7"/>
      <c r="F100" s="7"/>
      <c r="G100" s="7"/>
      <c r="H100" s="7"/>
      <c r="I100" s="7"/>
      <c r="J100" s="7"/>
      <c r="K100" s="9"/>
      <c r="L100" s="10"/>
      <c r="M100" s="10"/>
      <c r="N100" s="10"/>
      <c r="O100" s="10"/>
      <c r="P100" s="11"/>
      <c r="Q100" s="9"/>
      <c r="R100" s="12" t="str">
        <f aca="false">IF(AND(ISNUMBER(K100),ISNUMBER(Q100),K100&gt;0),Q100/K100,"")</f>
        <v/>
      </c>
      <c r="S100" s="11"/>
      <c r="T100" s="9"/>
      <c r="U100" s="10"/>
      <c r="V100" s="11"/>
      <c r="W100" s="11"/>
      <c r="X100" s="11"/>
      <c r="Y100" s="12" t="str">
        <f aca="false">IF(COUNT(V100:X100)=0,"",MAX(0,1-SUM(V100:X100)))</f>
        <v/>
      </c>
      <c r="Z100" s="13"/>
      <c r="AA100" s="9"/>
      <c r="AB100" s="7"/>
      <c r="AC100" s="7"/>
      <c r="AD100" s="7"/>
      <c r="AE100" s="7"/>
      <c r="AF100" s="14" t="str">
        <f aca="false">IF(D100="","",COUNTIF($D$2:D100,D100))</f>
        <v/>
      </c>
      <c r="AG100" s="15" t="str">
        <f aca="false" t="array" ref="AG100:AG100">IF(D100="","",IFERROR(MEDIAN(IF(($D$2:$D$401=D100)*($AF$2:$AF$401&gt;=AF100-5)*($AF$2:$AF$401&lt;=AF100-1)*($M$2:$M$401&lt;&gt;""),$M$2:$M$401)),""))</f>
        <v/>
      </c>
      <c r="AH100" s="16" t="str">
        <f aca="false">IF(AND(ISNUMBER(M100),ISNUMBER(AG100)),IF(AG100&gt;0,M100/AG100,""),"")</f>
        <v/>
      </c>
      <c r="AI100" s="15" t="str">
        <f aca="false" t="array" ref="AI100:AI100">IF(D100="","",IFERROR(MEDIAN(IF(($D$2:$D$401=D100)*($AF$2:$AF$401&gt;=AF100-5)*($AF$2:$AF$401&lt;=AF100-1)*($N$2:$N$401&lt;&gt;""),$N$2:$N$401)),""))</f>
        <v/>
      </c>
      <c r="AJ100" s="16" t="str">
        <f aca="false">IF(AND(ISNUMBER(N100),ISNUMBER(AI100)),IF(AI100&gt;0,N100/AI100,""),"")</f>
        <v/>
      </c>
      <c r="AK100" s="12" t="str">
        <f aca="false" t="array" ref="AK100:AK100">IF(D100="","",IFERROR(MEDIAN(IF(($D$2:$D$401=D100)*ISNUMBER($R$2:$R$401),$R$2:$R$401)),""))</f>
        <v/>
      </c>
      <c r="AL100" s="17" t="str">
        <f aca="false">IF(ISNUMBER(AJ100),IF(AND(AJ100&gt;=Resumen!$C$5,OR(NOT(ISNUMBER(R100)),NOT(ISNUMBER(AK100)),R100&gt;=AK100)),"Ganador",IF(AJ100&lt;=Resumen!$C$6,"Perdedor","Normal")),IF(ISNUMBER(AH100),IF(AH100&gt;=Resumen!$C$5,"Ganador (7 d, provisional)",IF(AH100&lt;=Resumen!$C$6,"Perdedor (7 d, provisional)","Normal (7 d, provisional)")),""))</f>
        <v/>
      </c>
      <c r="AM100" s="18" t="str">
        <f aca="false">IF(AND(ISNUMBER(Z100),ISNUMBER(N100)),IF(N100&gt;0,Z100/N100*1000,""),"")</f>
        <v/>
      </c>
      <c r="AN100" s="19" t="str">
        <f aca="false">IF(AND(ISNUMBER(U100),ISNUMBER(N100)),IF(N100&gt;0,U100/N100*1000,""),"")</f>
        <v/>
      </c>
    </row>
    <row r="101" customFormat="false" ht="15" hidden="false" customHeight="false" outlineLevel="0" collapsed="false">
      <c r="A101" s="7"/>
      <c r="B101" s="7"/>
      <c r="C101" s="8"/>
      <c r="D101" s="7"/>
      <c r="E101" s="7"/>
      <c r="F101" s="7"/>
      <c r="G101" s="7"/>
      <c r="H101" s="7"/>
      <c r="I101" s="7"/>
      <c r="J101" s="7"/>
      <c r="K101" s="9"/>
      <c r="L101" s="10"/>
      <c r="M101" s="10"/>
      <c r="N101" s="10"/>
      <c r="O101" s="10"/>
      <c r="P101" s="11"/>
      <c r="Q101" s="9"/>
      <c r="R101" s="12" t="str">
        <f aca="false">IF(AND(ISNUMBER(K101),ISNUMBER(Q101),K101&gt;0),Q101/K101,"")</f>
        <v/>
      </c>
      <c r="S101" s="11"/>
      <c r="T101" s="9"/>
      <c r="U101" s="10"/>
      <c r="V101" s="11"/>
      <c r="W101" s="11"/>
      <c r="X101" s="11"/>
      <c r="Y101" s="12" t="str">
        <f aca="false">IF(COUNT(V101:X101)=0,"",MAX(0,1-SUM(V101:X101)))</f>
        <v/>
      </c>
      <c r="Z101" s="13"/>
      <c r="AA101" s="9"/>
      <c r="AB101" s="7"/>
      <c r="AC101" s="7"/>
      <c r="AD101" s="7"/>
      <c r="AE101" s="7"/>
      <c r="AF101" s="14" t="str">
        <f aca="false">IF(D101="","",COUNTIF($D$2:D101,D101))</f>
        <v/>
      </c>
      <c r="AG101" s="15" t="str">
        <f aca="false" t="array" ref="AG101:AG101">IF(D101="","",IFERROR(MEDIAN(IF(($D$2:$D$401=D101)*($AF$2:$AF$401&gt;=AF101-5)*($AF$2:$AF$401&lt;=AF101-1)*($M$2:$M$401&lt;&gt;""),$M$2:$M$401)),""))</f>
        <v/>
      </c>
      <c r="AH101" s="16" t="str">
        <f aca="false">IF(AND(ISNUMBER(M101),ISNUMBER(AG101)),IF(AG101&gt;0,M101/AG101,""),"")</f>
        <v/>
      </c>
      <c r="AI101" s="15" t="str">
        <f aca="false" t="array" ref="AI101:AI101">IF(D101="","",IFERROR(MEDIAN(IF(($D$2:$D$401=D101)*($AF$2:$AF$401&gt;=AF101-5)*($AF$2:$AF$401&lt;=AF101-1)*($N$2:$N$401&lt;&gt;""),$N$2:$N$401)),""))</f>
        <v/>
      </c>
      <c r="AJ101" s="16" t="str">
        <f aca="false">IF(AND(ISNUMBER(N101),ISNUMBER(AI101)),IF(AI101&gt;0,N101/AI101,""),"")</f>
        <v/>
      </c>
      <c r="AK101" s="12" t="str">
        <f aca="false" t="array" ref="AK101:AK101">IF(D101="","",IFERROR(MEDIAN(IF(($D$2:$D$401=D101)*ISNUMBER($R$2:$R$401),$R$2:$R$401)),""))</f>
        <v/>
      </c>
      <c r="AL101" s="17" t="str">
        <f aca="false">IF(ISNUMBER(AJ101),IF(AND(AJ101&gt;=Resumen!$C$5,OR(NOT(ISNUMBER(R101)),NOT(ISNUMBER(AK101)),R101&gt;=AK101)),"Ganador",IF(AJ101&lt;=Resumen!$C$6,"Perdedor","Normal")),IF(ISNUMBER(AH101),IF(AH101&gt;=Resumen!$C$5,"Ganador (7 d, provisional)",IF(AH101&lt;=Resumen!$C$6,"Perdedor (7 d, provisional)","Normal (7 d, provisional)")),""))</f>
        <v/>
      </c>
      <c r="AM101" s="18" t="str">
        <f aca="false">IF(AND(ISNUMBER(Z101),ISNUMBER(N101)),IF(N101&gt;0,Z101/N101*1000,""),"")</f>
        <v/>
      </c>
      <c r="AN101" s="19" t="str">
        <f aca="false">IF(AND(ISNUMBER(U101),ISNUMBER(N101)),IF(N101&gt;0,U101/N101*1000,""),"")</f>
        <v/>
      </c>
    </row>
    <row r="102" customFormat="false" ht="15" hidden="false" customHeight="false" outlineLevel="0" collapsed="false">
      <c r="A102" s="7"/>
      <c r="B102" s="7"/>
      <c r="C102" s="8"/>
      <c r="D102" s="7"/>
      <c r="E102" s="7"/>
      <c r="F102" s="7"/>
      <c r="G102" s="7"/>
      <c r="H102" s="7"/>
      <c r="I102" s="7"/>
      <c r="J102" s="7"/>
      <c r="K102" s="9"/>
      <c r="L102" s="10"/>
      <c r="M102" s="10"/>
      <c r="N102" s="10"/>
      <c r="O102" s="10"/>
      <c r="P102" s="11"/>
      <c r="Q102" s="9"/>
      <c r="R102" s="12" t="str">
        <f aca="false">IF(AND(ISNUMBER(K102),ISNUMBER(Q102),K102&gt;0),Q102/K102,"")</f>
        <v/>
      </c>
      <c r="S102" s="11"/>
      <c r="T102" s="9"/>
      <c r="U102" s="10"/>
      <c r="V102" s="11"/>
      <c r="W102" s="11"/>
      <c r="X102" s="11"/>
      <c r="Y102" s="12" t="str">
        <f aca="false">IF(COUNT(V102:X102)=0,"",MAX(0,1-SUM(V102:X102)))</f>
        <v/>
      </c>
      <c r="Z102" s="13"/>
      <c r="AA102" s="9"/>
      <c r="AB102" s="7"/>
      <c r="AC102" s="7"/>
      <c r="AD102" s="7"/>
      <c r="AE102" s="7"/>
      <c r="AF102" s="14" t="str">
        <f aca="false">IF(D102="","",COUNTIF($D$2:D102,D102))</f>
        <v/>
      </c>
      <c r="AG102" s="15" t="str">
        <f aca="false" t="array" ref="AG102:AG102">IF(D102="","",IFERROR(MEDIAN(IF(($D$2:$D$401=D102)*($AF$2:$AF$401&gt;=AF102-5)*($AF$2:$AF$401&lt;=AF102-1)*($M$2:$M$401&lt;&gt;""),$M$2:$M$401)),""))</f>
        <v/>
      </c>
      <c r="AH102" s="16" t="str">
        <f aca="false">IF(AND(ISNUMBER(M102),ISNUMBER(AG102)),IF(AG102&gt;0,M102/AG102,""),"")</f>
        <v/>
      </c>
      <c r="AI102" s="15" t="str">
        <f aca="false" t="array" ref="AI102:AI102">IF(D102="","",IFERROR(MEDIAN(IF(($D$2:$D$401=D102)*($AF$2:$AF$401&gt;=AF102-5)*($AF$2:$AF$401&lt;=AF102-1)*($N$2:$N$401&lt;&gt;""),$N$2:$N$401)),""))</f>
        <v/>
      </c>
      <c r="AJ102" s="16" t="str">
        <f aca="false">IF(AND(ISNUMBER(N102),ISNUMBER(AI102)),IF(AI102&gt;0,N102/AI102,""),"")</f>
        <v/>
      </c>
      <c r="AK102" s="12" t="str">
        <f aca="false" t="array" ref="AK102:AK102">IF(D102="","",IFERROR(MEDIAN(IF(($D$2:$D$401=D102)*ISNUMBER($R$2:$R$401),$R$2:$R$401)),""))</f>
        <v/>
      </c>
      <c r="AL102" s="17" t="str">
        <f aca="false">IF(ISNUMBER(AJ102),IF(AND(AJ102&gt;=Resumen!$C$5,OR(NOT(ISNUMBER(R102)),NOT(ISNUMBER(AK102)),R102&gt;=AK102)),"Ganador",IF(AJ102&lt;=Resumen!$C$6,"Perdedor","Normal")),IF(ISNUMBER(AH102),IF(AH102&gt;=Resumen!$C$5,"Ganador (7 d, provisional)",IF(AH102&lt;=Resumen!$C$6,"Perdedor (7 d, provisional)","Normal (7 d, provisional)")),""))</f>
        <v/>
      </c>
      <c r="AM102" s="18" t="str">
        <f aca="false">IF(AND(ISNUMBER(Z102),ISNUMBER(N102)),IF(N102&gt;0,Z102/N102*1000,""),"")</f>
        <v/>
      </c>
      <c r="AN102" s="19" t="str">
        <f aca="false">IF(AND(ISNUMBER(U102),ISNUMBER(N102)),IF(N102&gt;0,U102/N102*1000,""),"")</f>
        <v/>
      </c>
    </row>
    <row r="103" customFormat="false" ht="15" hidden="false" customHeight="false" outlineLevel="0" collapsed="false">
      <c r="A103" s="7"/>
      <c r="B103" s="7"/>
      <c r="C103" s="8"/>
      <c r="D103" s="7"/>
      <c r="E103" s="7"/>
      <c r="F103" s="7"/>
      <c r="G103" s="7"/>
      <c r="H103" s="7"/>
      <c r="I103" s="7"/>
      <c r="J103" s="7"/>
      <c r="K103" s="9"/>
      <c r="L103" s="10"/>
      <c r="M103" s="10"/>
      <c r="N103" s="10"/>
      <c r="O103" s="10"/>
      <c r="P103" s="11"/>
      <c r="Q103" s="9"/>
      <c r="R103" s="12" t="str">
        <f aca="false">IF(AND(ISNUMBER(K103),ISNUMBER(Q103),K103&gt;0),Q103/K103,"")</f>
        <v/>
      </c>
      <c r="S103" s="11"/>
      <c r="T103" s="9"/>
      <c r="U103" s="10"/>
      <c r="V103" s="11"/>
      <c r="W103" s="11"/>
      <c r="X103" s="11"/>
      <c r="Y103" s="12" t="str">
        <f aca="false">IF(COUNT(V103:X103)=0,"",MAX(0,1-SUM(V103:X103)))</f>
        <v/>
      </c>
      <c r="Z103" s="13"/>
      <c r="AA103" s="9"/>
      <c r="AB103" s="7"/>
      <c r="AC103" s="7"/>
      <c r="AD103" s="7"/>
      <c r="AE103" s="7"/>
      <c r="AF103" s="14" t="str">
        <f aca="false">IF(D103="","",COUNTIF($D$2:D103,D103))</f>
        <v/>
      </c>
      <c r="AG103" s="15" t="str">
        <f aca="false" t="array" ref="AG103:AG103">IF(D103="","",IFERROR(MEDIAN(IF(($D$2:$D$401=D103)*($AF$2:$AF$401&gt;=AF103-5)*($AF$2:$AF$401&lt;=AF103-1)*($M$2:$M$401&lt;&gt;""),$M$2:$M$401)),""))</f>
        <v/>
      </c>
      <c r="AH103" s="16" t="str">
        <f aca="false">IF(AND(ISNUMBER(M103),ISNUMBER(AG103)),IF(AG103&gt;0,M103/AG103,""),"")</f>
        <v/>
      </c>
      <c r="AI103" s="15" t="str">
        <f aca="false" t="array" ref="AI103:AI103">IF(D103="","",IFERROR(MEDIAN(IF(($D$2:$D$401=D103)*($AF$2:$AF$401&gt;=AF103-5)*($AF$2:$AF$401&lt;=AF103-1)*($N$2:$N$401&lt;&gt;""),$N$2:$N$401)),""))</f>
        <v/>
      </c>
      <c r="AJ103" s="16" t="str">
        <f aca="false">IF(AND(ISNUMBER(N103),ISNUMBER(AI103)),IF(AI103&gt;0,N103/AI103,""),"")</f>
        <v/>
      </c>
      <c r="AK103" s="12" t="str">
        <f aca="false" t="array" ref="AK103:AK103">IF(D103="","",IFERROR(MEDIAN(IF(($D$2:$D$401=D103)*ISNUMBER($R$2:$R$401),$R$2:$R$401)),""))</f>
        <v/>
      </c>
      <c r="AL103" s="17" t="str">
        <f aca="false">IF(ISNUMBER(AJ103),IF(AND(AJ103&gt;=Resumen!$C$5,OR(NOT(ISNUMBER(R103)),NOT(ISNUMBER(AK103)),R103&gt;=AK103)),"Ganador",IF(AJ103&lt;=Resumen!$C$6,"Perdedor","Normal")),IF(ISNUMBER(AH103),IF(AH103&gt;=Resumen!$C$5,"Ganador (7 d, provisional)",IF(AH103&lt;=Resumen!$C$6,"Perdedor (7 d, provisional)","Normal (7 d, provisional)")),""))</f>
        <v/>
      </c>
      <c r="AM103" s="18" t="str">
        <f aca="false">IF(AND(ISNUMBER(Z103),ISNUMBER(N103)),IF(N103&gt;0,Z103/N103*1000,""),"")</f>
        <v/>
      </c>
      <c r="AN103" s="19" t="str">
        <f aca="false">IF(AND(ISNUMBER(U103),ISNUMBER(N103)),IF(N103&gt;0,U103/N103*1000,""),"")</f>
        <v/>
      </c>
    </row>
    <row r="104" customFormat="false" ht="15" hidden="false" customHeight="false" outlineLevel="0" collapsed="false">
      <c r="A104" s="7"/>
      <c r="B104" s="7"/>
      <c r="C104" s="8"/>
      <c r="D104" s="7"/>
      <c r="E104" s="7"/>
      <c r="F104" s="7"/>
      <c r="G104" s="7"/>
      <c r="H104" s="7"/>
      <c r="I104" s="7"/>
      <c r="J104" s="7"/>
      <c r="K104" s="9"/>
      <c r="L104" s="10"/>
      <c r="M104" s="10"/>
      <c r="N104" s="10"/>
      <c r="O104" s="10"/>
      <c r="P104" s="11"/>
      <c r="Q104" s="9"/>
      <c r="R104" s="12" t="str">
        <f aca="false">IF(AND(ISNUMBER(K104),ISNUMBER(Q104),K104&gt;0),Q104/K104,"")</f>
        <v/>
      </c>
      <c r="S104" s="11"/>
      <c r="T104" s="9"/>
      <c r="U104" s="10"/>
      <c r="V104" s="11"/>
      <c r="W104" s="11"/>
      <c r="X104" s="11"/>
      <c r="Y104" s="12" t="str">
        <f aca="false">IF(COUNT(V104:X104)=0,"",MAX(0,1-SUM(V104:X104)))</f>
        <v/>
      </c>
      <c r="Z104" s="13"/>
      <c r="AA104" s="9"/>
      <c r="AB104" s="7"/>
      <c r="AC104" s="7"/>
      <c r="AD104" s="7"/>
      <c r="AE104" s="7"/>
      <c r="AF104" s="14" t="str">
        <f aca="false">IF(D104="","",COUNTIF($D$2:D104,D104))</f>
        <v/>
      </c>
      <c r="AG104" s="15" t="str">
        <f aca="false" t="array" ref="AG104:AG104">IF(D104="","",IFERROR(MEDIAN(IF(($D$2:$D$401=D104)*($AF$2:$AF$401&gt;=AF104-5)*($AF$2:$AF$401&lt;=AF104-1)*($M$2:$M$401&lt;&gt;""),$M$2:$M$401)),""))</f>
        <v/>
      </c>
      <c r="AH104" s="16" t="str">
        <f aca="false">IF(AND(ISNUMBER(M104),ISNUMBER(AG104)),IF(AG104&gt;0,M104/AG104,""),"")</f>
        <v/>
      </c>
      <c r="AI104" s="15" t="str">
        <f aca="false" t="array" ref="AI104:AI104">IF(D104="","",IFERROR(MEDIAN(IF(($D$2:$D$401=D104)*($AF$2:$AF$401&gt;=AF104-5)*($AF$2:$AF$401&lt;=AF104-1)*($N$2:$N$401&lt;&gt;""),$N$2:$N$401)),""))</f>
        <v/>
      </c>
      <c r="AJ104" s="16" t="str">
        <f aca="false">IF(AND(ISNUMBER(N104),ISNUMBER(AI104)),IF(AI104&gt;0,N104/AI104,""),"")</f>
        <v/>
      </c>
      <c r="AK104" s="12" t="str">
        <f aca="false" t="array" ref="AK104:AK104">IF(D104="","",IFERROR(MEDIAN(IF(($D$2:$D$401=D104)*ISNUMBER($R$2:$R$401),$R$2:$R$401)),""))</f>
        <v/>
      </c>
      <c r="AL104" s="17" t="str">
        <f aca="false">IF(ISNUMBER(AJ104),IF(AND(AJ104&gt;=Resumen!$C$5,OR(NOT(ISNUMBER(R104)),NOT(ISNUMBER(AK104)),R104&gt;=AK104)),"Ganador",IF(AJ104&lt;=Resumen!$C$6,"Perdedor","Normal")),IF(ISNUMBER(AH104),IF(AH104&gt;=Resumen!$C$5,"Ganador (7 d, provisional)",IF(AH104&lt;=Resumen!$C$6,"Perdedor (7 d, provisional)","Normal (7 d, provisional)")),""))</f>
        <v/>
      </c>
      <c r="AM104" s="18" t="str">
        <f aca="false">IF(AND(ISNUMBER(Z104),ISNUMBER(N104)),IF(N104&gt;0,Z104/N104*1000,""),"")</f>
        <v/>
      </c>
      <c r="AN104" s="19" t="str">
        <f aca="false">IF(AND(ISNUMBER(U104),ISNUMBER(N104)),IF(N104&gt;0,U104/N104*1000,""),"")</f>
        <v/>
      </c>
    </row>
    <row r="105" customFormat="false" ht="15" hidden="false" customHeight="false" outlineLevel="0" collapsed="false">
      <c r="A105" s="7"/>
      <c r="B105" s="7"/>
      <c r="C105" s="8"/>
      <c r="D105" s="7"/>
      <c r="E105" s="7"/>
      <c r="F105" s="7"/>
      <c r="G105" s="7"/>
      <c r="H105" s="7"/>
      <c r="I105" s="7"/>
      <c r="J105" s="7"/>
      <c r="K105" s="9"/>
      <c r="L105" s="10"/>
      <c r="M105" s="10"/>
      <c r="N105" s="10"/>
      <c r="O105" s="10"/>
      <c r="P105" s="11"/>
      <c r="Q105" s="9"/>
      <c r="R105" s="12" t="str">
        <f aca="false">IF(AND(ISNUMBER(K105),ISNUMBER(Q105),K105&gt;0),Q105/K105,"")</f>
        <v/>
      </c>
      <c r="S105" s="11"/>
      <c r="T105" s="9"/>
      <c r="U105" s="10"/>
      <c r="V105" s="11"/>
      <c r="W105" s="11"/>
      <c r="X105" s="11"/>
      <c r="Y105" s="12" t="str">
        <f aca="false">IF(COUNT(V105:X105)=0,"",MAX(0,1-SUM(V105:X105)))</f>
        <v/>
      </c>
      <c r="Z105" s="13"/>
      <c r="AA105" s="9"/>
      <c r="AB105" s="7"/>
      <c r="AC105" s="7"/>
      <c r="AD105" s="7"/>
      <c r="AE105" s="7"/>
      <c r="AF105" s="14" t="str">
        <f aca="false">IF(D105="","",COUNTIF($D$2:D105,D105))</f>
        <v/>
      </c>
      <c r="AG105" s="15" t="str">
        <f aca="false" t="array" ref="AG105:AG105">IF(D105="","",IFERROR(MEDIAN(IF(($D$2:$D$401=D105)*($AF$2:$AF$401&gt;=AF105-5)*($AF$2:$AF$401&lt;=AF105-1)*($M$2:$M$401&lt;&gt;""),$M$2:$M$401)),""))</f>
        <v/>
      </c>
      <c r="AH105" s="16" t="str">
        <f aca="false">IF(AND(ISNUMBER(M105),ISNUMBER(AG105)),IF(AG105&gt;0,M105/AG105,""),"")</f>
        <v/>
      </c>
      <c r="AI105" s="15" t="str">
        <f aca="false" t="array" ref="AI105:AI105">IF(D105="","",IFERROR(MEDIAN(IF(($D$2:$D$401=D105)*($AF$2:$AF$401&gt;=AF105-5)*($AF$2:$AF$401&lt;=AF105-1)*($N$2:$N$401&lt;&gt;""),$N$2:$N$401)),""))</f>
        <v/>
      </c>
      <c r="AJ105" s="16" t="str">
        <f aca="false">IF(AND(ISNUMBER(N105),ISNUMBER(AI105)),IF(AI105&gt;0,N105/AI105,""),"")</f>
        <v/>
      </c>
      <c r="AK105" s="12" t="str">
        <f aca="false" t="array" ref="AK105:AK105">IF(D105="","",IFERROR(MEDIAN(IF(($D$2:$D$401=D105)*ISNUMBER($R$2:$R$401),$R$2:$R$401)),""))</f>
        <v/>
      </c>
      <c r="AL105" s="17" t="str">
        <f aca="false">IF(ISNUMBER(AJ105),IF(AND(AJ105&gt;=Resumen!$C$5,OR(NOT(ISNUMBER(R105)),NOT(ISNUMBER(AK105)),R105&gt;=AK105)),"Ganador",IF(AJ105&lt;=Resumen!$C$6,"Perdedor","Normal")),IF(ISNUMBER(AH105),IF(AH105&gt;=Resumen!$C$5,"Ganador (7 d, provisional)",IF(AH105&lt;=Resumen!$C$6,"Perdedor (7 d, provisional)","Normal (7 d, provisional)")),""))</f>
        <v/>
      </c>
      <c r="AM105" s="18" t="str">
        <f aca="false">IF(AND(ISNUMBER(Z105),ISNUMBER(N105)),IF(N105&gt;0,Z105/N105*1000,""),"")</f>
        <v/>
      </c>
      <c r="AN105" s="19" t="str">
        <f aca="false">IF(AND(ISNUMBER(U105),ISNUMBER(N105)),IF(N105&gt;0,U105/N105*1000,""),"")</f>
        <v/>
      </c>
    </row>
    <row r="106" customFormat="false" ht="15" hidden="false" customHeight="false" outlineLevel="0" collapsed="false">
      <c r="A106" s="7"/>
      <c r="B106" s="7"/>
      <c r="C106" s="8"/>
      <c r="D106" s="7"/>
      <c r="E106" s="7"/>
      <c r="F106" s="7"/>
      <c r="G106" s="7"/>
      <c r="H106" s="7"/>
      <c r="I106" s="7"/>
      <c r="J106" s="7"/>
      <c r="K106" s="9"/>
      <c r="L106" s="10"/>
      <c r="M106" s="10"/>
      <c r="N106" s="10"/>
      <c r="O106" s="10"/>
      <c r="P106" s="11"/>
      <c r="Q106" s="9"/>
      <c r="R106" s="12" t="str">
        <f aca="false">IF(AND(ISNUMBER(K106),ISNUMBER(Q106),K106&gt;0),Q106/K106,"")</f>
        <v/>
      </c>
      <c r="S106" s="11"/>
      <c r="T106" s="9"/>
      <c r="U106" s="10"/>
      <c r="V106" s="11"/>
      <c r="W106" s="11"/>
      <c r="X106" s="11"/>
      <c r="Y106" s="12" t="str">
        <f aca="false">IF(COUNT(V106:X106)=0,"",MAX(0,1-SUM(V106:X106)))</f>
        <v/>
      </c>
      <c r="Z106" s="13"/>
      <c r="AA106" s="9"/>
      <c r="AB106" s="7"/>
      <c r="AC106" s="7"/>
      <c r="AD106" s="7"/>
      <c r="AE106" s="7"/>
      <c r="AF106" s="14" t="str">
        <f aca="false">IF(D106="","",COUNTIF($D$2:D106,D106))</f>
        <v/>
      </c>
      <c r="AG106" s="15" t="str">
        <f aca="false" t="array" ref="AG106:AG106">IF(D106="","",IFERROR(MEDIAN(IF(($D$2:$D$401=D106)*($AF$2:$AF$401&gt;=AF106-5)*($AF$2:$AF$401&lt;=AF106-1)*($M$2:$M$401&lt;&gt;""),$M$2:$M$401)),""))</f>
        <v/>
      </c>
      <c r="AH106" s="16" t="str">
        <f aca="false">IF(AND(ISNUMBER(M106),ISNUMBER(AG106)),IF(AG106&gt;0,M106/AG106,""),"")</f>
        <v/>
      </c>
      <c r="AI106" s="15" t="str">
        <f aca="false" t="array" ref="AI106:AI106">IF(D106="","",IFERROR(MEDIAN(IF(($D$2:$D$401=D106)*($AF$2:$AF$401&gt;=AF106-5)*($AF$2:$AF$401&lt;=AF106-1)*($N$2:$N$401&lt;&gt;""),$N$2:$N$401)),""))</f>
        <v/>
      </c>
      <c r="AJ106" s="16" t="str">
        <f aca="false">IF(AND(ISNUMBER(N106),ISNUMBER(AI106)),IF(AI106&gt;0,N106/AI106,""),"")</f>
        <v/>
      </c>
      <c r="AK106" s="12" t="str">
        <f aca="false" t="array" ref="AK106:AK106">IF(D106="","",IFERROR(MEDIAN(IF(($D$2:$D$401=D106)*ISNUMBER($R$2:$R$401),$R$2:$R$401)),""))</f>
        <v/>
      </c>
      <c r="AL106" s="17" t="str">
        <f aca="false">IF(ISNUMBER(AJ106),IF(AND(AJ106&gt;=Resumen!$C$5,OR(NOT(ISNUMBER(R106)),NOT(ISNUMBER(AK106)),R106&gt;=AK106)),"Ganador",IF(AJ106&lt;=Resumen!$C$6,"Perdedor","Normal")),IF(ISNUMBER(AH106),IF(AH106&gt;=Resumen!$C$5,"Ganador (7 d, provisional)",IF(AH106&lt;=Resumen!$C$6,"Perdedor (7 d, provisional)","Normal (7 d, provisional)")),""))</f>
        <v/>
      </c>
      <c r="AM106" s="18" t="str">
        <f aca="false">IF(AND(ISNUMBER(Z106),ISNUMBER(N106)),IF(N106&gt;0,Z106/N106*1000,""),"")</f>
        <v/>
      </c>
      <c r="AN106" s="19" t="str">
        <f aca="false">IF(AND(ISNUMBER(U106),ISNUMBER(N106)),IF(N106&gt;0,U106/N106*1000,""),"")</f>
        <v/>
      </c>
    </row>
    <row r="107" customFormat="false" ht="15" hidden="false" customHeight="false" outlineLevel="0" collapsed="false">
      <c r="A107" s="7"/>
      <c r="B107" s="7"/>
      <c r="C107" s="8"/>
      <c r="D107" s="7"/>
      <c r="E107" s="7"/>
      <c r="F107" s="7"/>
      <c r="G107" s="7"/>
      <c r="H107" s="7"/>
      <c r="I107" s="7"/>
      <c r="J107" s="7"/>
      <c r="K107" s="9"/>
      <c r="L107" s="10"/>
      <c r="M107" s="10"/>
      <c r="N107" s="10"/>
      <c r="O107" s="10"/>
      <c r="P107" s="11"/>
      <c r="Q107" s="9"/>
      <c r="R107" s="12" t="str">
        <f aca="false">IF(AND(ISNUMBER(K107),ISNUMBER(Q107),K107&gt;0),Q107/K107,"")</f>
        <v/>
      </c>
      <c r="S107" s="11"/>
      <c r="T107" s="9"/>
      <c r="U107" s="10"/>
      <c r="V107" s="11"/>
      <c r="W107" s="11"/>
      <c r="X107" s="11"/>
      <c r="Y107" s="12" t="str">
        <f aca="false">IF(COUNT(V107:X107)=0,"",MAX(0,1-SUM(V107:X107)))</f>
        <v/>
      </c>
      <c r="Z107" s="13"/>
      <c r="AA107" s="9"/>
      <c r="AB107" s="7"/>
      <c r="AC107" s="7"/>
      <c r="AD107" s="7"/>
      <c r="AE107" s="7"/>
      <c r="AF107" s="14" t="str">
        <f aca="false">IF(D107="","",COUNTIF($D$2:D107,D107))</f>
        <v/>
      </c>
      <c r="AG107" s="15" t="str">
        <f aca="false" t="array" ref="AG107:AG107">IF(D107="","",IFERROR(MEDIAN(IF(($D$2:$D$401=D107)*($AF$2:$AF$401&gt;=AF107-5)*($AF$2:$AF$401&lt;=AF107-1)*($M$2:$M$401&lt;&gt;""),$M$2:$M$401)),""))</f>
        <v/>
      </c>
      <c r="AH107" s="16" t="str">
        <f aca="false">IF(AND(ISNUMBER(M107),ISNUMBER(AG107)),IF(AG107&gt;0,M107/AG107,""),"")</f>
        <v/>
      </c>
      <c r="AI107" s="15" t="str">
        <f aca="false" t="array" ref="AI107:AI107">IF(D107="","",IFERROR(MEDIAN(IF(($D$2:$D$401=D107)*($AF$2:$AF$401&gt;=AF107-5)*($AF$2:$AF$401&lt;=AF107-1)*($N$2:$N$401&lt;&gt;""),$N$2:$N$401)),""))</f>
        <v/>
      </c>
      <c r="AJ107" s="16" t="str">
        <f aca="false">IF(AND(ISNUMBER(N107),ISNUMBER(AI107)),IF(AI107&gt;0,N107/AI107,""),"")</f>
        <v/>
      </c>
      <c r="AK107" s="12" t="str">
        <f aca="false" t="array" ref="AK107:AK107">IF(D107="","",IFERROR(MEDIAN(IF(($D$2:$D$401=D107)*ISNUMBER($R$2:$R$401),$R$2:$R$401)),""))</f>
        <v/>
      </c>
      <c r="AL107" s="17" t="str">
        <f aca="false">IF(ISNUMBER(AJ107),IF(AND(AJ107&gt;=Resumen!$C$5,OR(NOT(ISNUMBER(R107)),NOT(ISNUMBER(AK107)),R107&gt;=AK107)),"Ganador",IF(AJ107&lt;=Resumen!$C$6,"Perdedor","Normal")),IF(ISNUMBER(AH107),IF(AH107&gt;=Resumen!$C$5,"Ganador (7 d, provisional)",IF(AH107&lt;=Resumen!$C$6,"Perdedor (7 d, provisional)","Normal (7 d, provisional)")),""))</f>
        <v/>
      </c>
      <c r="AM107" s="18" t="str">
        <f aca="false">IF(AND(ISNUMBER(Z107),ISNUMBER(N107)),IF(N107&gt;0,Z107/N107*1000,""),"")</f>
        <v/>
      </c>
      <c r="AN107" s="19" t="str">
        <f aca="false">IF(AND(ISNUMBER(U107),ISNUMBER(N107)),IF(N107&gt;0,U107/N107*1000,""),"")</f>
        <v/>
      </c>
    </row>
    <row r="108" customFormat="false" ht="15" hidden="false" customHeight="false" outlineLevel="0" collapsed="false">
      <c r="A108" s="7"/>
      <c r="B108" s="7"/>
      <c r="C108" s="8"/>
      <c r="D108" s="7"/>
      <c r="E108" s="7"/>
      <c r="F108" s="7"/>
      <c r="G108" s="7"/>
      <c r="H108" s="7"/>
      <c r="I108" s="7"/>
      <c r="J108" s="7"/>
      <c r="K108" s="9"/>
      <c r="L108" s="10"/>
      <c r="M108" s="10"/>
      <c r="N108" s="10"/>
      <c r="O108" s="10"/>
      <c r="P108" s="11"/>
      <c r="Q108" s="9"/>
      <c r="R108" s="12" t="str">
        <f aca="false">IF(AND(ISNUMBER(K108),ISNUMBER(Q108),K108&gt;0),Q108/K108,"")</f>
        <v/>
      </c>
      <c r="S108" s="11"/>
      <c r="T108" s="9"/>
      <c r="U108" s="10"/>
      <c r="V108" s="11"/>
      <c r="W108" s="11"/>
      <c r="X108" s="11"/>
      <c r="Y108" s="12" t="str">
        <f aca="false">IF(COUNT(V108:X108)=0,"",MAX(0,1-SUM(V108:X108)))</f>
        <v/>
      </c>
      <c r="Z108" s="13"/>
      <c r="AA108" s="9"/>
      <c r="AB108" s="7"/>
      <c r="AC108" s="7"/>
      <c r="AD108" s="7"/>
      <c r="AE108" s="7"/>
      <c r="AF108" s="14" t="str">
        <f aca="false">IF(D108="","",COUNTIF($D$2:D108,D108))</f>
        <v/>
      </c>
      <c r="AG108" s="15" t="str">
        <f aca="false" t="array" ref="AG108:AG108">IF(D108="","",IFERROR(MEDIAN(IF(($D$2:$D$401=D108)*($AF$2:$AF$401&gt;=AF108-5)*($AF$2:$AF$401&lt;=AF108-1)*($M$2:$M$401&lt;&gt;""),$M$2:$M$401)),""))</f>
        <v/>
      </c>
      <c r="AH108" s="16" t="str">
        <f aca="false">IF(AND(ISNUMBER(M108),ISNUMBER(AG108)),IF(AG108&gt;0,M108/AG108,""),"")</f>
        <v/>
      </c>
      <c r="AI108" s="15" t="str">
        <f aca="false" t="array" ref="AI108:AI108">IF(D108="","",IFERROR(MEDIAN(IF(($D$2:$D$401=D108)*($AF$2:$AF$401&gt;=AF108-5)*($AF$2:$AF$401&lt;=AF108-1)*($N$2:$N$401&lt;&gt;""),$N$2:$N$401)),""))</f>
        <v/>
      </c>
      <c r="AJ108" s="16" t="str">
        <f aca="false">IF(AND(ISNUMBER(N108),ISNUMBER(AI108)),IF(AI108&gt;0,N108/AI108,""),"")</f>
        <v/>
      </c>
      <c r="AK108" s="12" t="str">
        <f aca="false" t="array" ref="AK108:AK108">IF(D108="","",IFERROR(MEDIAN(IF(($D$2:$D$401=D108)*ISNUMBER($R$2:$R$401),$R$2:$R$401)),""))</f>
        <v/>
      </c>
      <c r="AL108" s="17" t="str">
        <f aca="false">IF(ISNUMBER(AJ108),IF(AND(AJ108&gt;=Resumen!$C$5,OR(NOT(ISNUMBER(R108)),NOT(ISNUMBER(AK108)),R108&gt;=AK108)),"Ganador",IF(AJ108&lt;=Resumen!$C$6,"Perdedor","Normal")),IF(ISNUMBER(AH108),IF(AH108&gt;=Resumen!$C$5,"Ganador (7 d, provisional)",IF(AH108&lt;=Resumen!$C$6,"Perdedor (7 d, provisional)","Normal (7 d, provisional)")),""))</f>
        <v/>
      </c>
      <c r="AM108" s="18" t="str">
        <f aca="false">IF(AND(ISNUMBER(Z108),ISNUMBER(N108)),IF(N108&gt;0,Z108/N108*1000,""),"")</f>
        <v/>
      </c>
      <c r="AN108" s="19" t="str">
        <f aca="false">IF(AND(ISNUMBER(U108),ISNUMBER(N108)),IF(N108&gt;0,U108/N108*1000,""),"")</f>
        <v/>
      </c>
    </row>
    <row r="109" customFormat="false" ht="15" hidden="false" customHeight="false" outlineLevel="0" collapsed="false">
      <c r="A109" s="7"/>
      <c r="B109" s="7"/>
      <c r="C109" s="8"/>
      <c r="D109" s="7"/>
      <c r="E109" s="7"/>
      <c r="F109" s="7"/>
      <c r="G109" s="7"/>
      <c r="H109" s="7"/>
      <c r="I109" s="7"/>
      <c r="J109" s="7"/>
      <c r="K109" s="9"/>
      <c r="L109" s="10"/>
      <c r="M109" s="10"/>
      <c r="N109" s="10"/>
      <c r="O109" s="10"/>
      <c r="P109" s="11"/>
      <c r="Q109" s="9"/>
      <c r="R109" s="12" t="str">
        <f aca="false">IF(AND(ISNUMBER(K109),ISNUMBER(Q109),K109&gt;0),Q109/K109,"")</f>
        <v/>
      </c>
      <c r="S109" s="11"/>
      <c r="T109" s="9"/>
      <c r="U109" s="10"/>
      <c r="V109" s="11"/>
      <c r="W109" s="11"/>
      <c r="X109" s="11"/>
      <c r="Y109" s="12" t="str">
        <f aca="false">IF(COUNT(V109:X109)=0,"",MAX(0,1-SUM(V109:X109)))</f>
        <v/>
      </c>
      <c r="Z109" s="13"/>
      <c r="AA109" s="9"/>
      <c r="AB109" s="7"/>
      <c r="AC109" s="7"/>
      <c r="AD109" s="7"/>
      <c r="AE109" s="7"/>
      <c r="AF109" s="14" t="str">
        <f aca="false">IF(D109="","",COUNTIF($D$2:D109,D109))</f>
        <v/>
      </c>
      <c r="AG109" s="15" t="str">
        <f aca="false" t="array" ref="AG109:AG109">IF(D109="","",IFERROR(MEDIAN(IF(($D$2:$D$401=D109)*($AF$2:$AF$401&gt;=AF109-5)*($AF$2:$AF$401&lt;=AF109-1)*($M$2:$M$401&lt;&gt;""),$M$2:$M$401)),""))</f>
        <v/>
      </c>
      <c r="AH109" s="16" t="str">
        <f aca="false">IF(AND(ISNUMBER(M109),ISNUMBER(AG109)),IF(AG109&gt;0,M109/AG109,""),"")</f>
        <v/>
      </c>
      <c r="AI109" s="15" t="str">
        <f aca="false" t="array" ref="AI109:AI109">IF(D109="","",IFERROR(MEDIAN(IF(($D$2:$D$401=D109)*($AF$2:$AF$401&gt;=AF109-5)*($AF$2:$AF$401&lt;=AF109-1)*($N$2:$N$401&lt;&gt;""),$N$2:$N$401)),""))</f>
        <v/>
      </c>
      <c r="AJ109" s="16" t="str">
        <f aca="false">IF(AND(ISNUMBER(N109),ISNUMBER(AI109)),IF(AI109&gt;0,N109/AI109,""),"")</f>
        <v/>
      </c>
      <c r="AK109" s="12" t="str">
        <f aca="false" t="array" ref="AK109:AK109">IF(D109="","",IFERROR(MEDIAN(IF(($D$2:$D$401=D109)*ISNUMBER($R$2:$R$401),$R$2:$R$401)),""))</f>
        <v/>
      </c>
      <c r="AL109" s="17" t="str">
        <f aca="false">IF(ISNUMBER(AJ109),IF(AND(AJ109&gt;=Resumen!$C$5,OR(NOT(ISNUMBER(R109)),NOT(ISNUMBER(AK109)),R109&gt;=AK109)),"Ganador",IF(AJ109&lt;=Resumen!$C$6,"Perdedor","Normal")),IF(ISNUMBER(AH109),IF(AH109&gt;=Resumen!$C$5,"Ganador (7 d, provisional)",IF(AH109&lt;=Resumen!$C$6,"Perdedor (7 d, provisional)","Normal (7 d, provisional)")),""))</f>
        <v/>
      </c>
      <c r="AM109" s="18" t="str">
        <f aca="false">IF(AND(ISNUMBER(Z109),ISNUMBER(N109)),IF(N109&gt;0,Z109/N109*1000,""),"")</f>
        <v/>
      </c>
      <c r="AN109" s="19" t="str">
        <f aca="false">IF(AND(ISNUMBER(U109),ISNUMBER(N109)),IF(N109&gt;0,U109/N109*1000,""),"")</f>
        <v/>
      </c>
    </row>
    <row r="110" customFormat="false" ht="15" hidden="false" customHeight="false" outlineLevel="0" collapsed="false">
      <c r="A110" s="7"/>
      <c r="B110" s="7"/>
      <c r="C110" s="8"/>
      <c r="D110" s="7"/>
      <c r="E110" s="7"/>
      <c r="F110" s="7"/>
      <c r="G110" s="7"/>
      <c r="H110" s="7"/>
      <c r="I110" s="7"/>
      <c r="J110" s="7"/>
      <c r="K110" s="9"/>
      <c r="L110" s="10"/>
      <c r="M110" s="10"/>
      <c r="N110" s="10"/>
      <c r="O110" s="10"/>
      <c r="P110" s="11"/>
      <c r="Q110" s="9"/>
      <c r="R110" s="12" t="str">
        <f aca="false">IF(AND(ISNUMBER(K110),ISNUMBER(Q110),K110&gt;0),Q110/K110,"")</f>
        <v/>
      </c>
      <c r="S110" s="11"/>
      <c r="T110" s="9"/>
      <c r="U110" s="10"/>
      <c r="V110" s="11"/>
      <c r="W110" s="11"/>
      <c r="X110" s="11"/>
      <c r="Y110" s="12" t="str">
        <f aca="false">IF(COUNT(V110:X110)=0,"",MAX(0,1-SUM(V110:X110)))</f>
        <v/>
      </c>
      <c r="Z110" s="13"/>
      <c r="AA110" s="9"/>
      <c r="AB110" s="7"/>
      <c r="AC110" s="7"/>
      <c r="AD110" s="7"/>
      <c r="AE110" s="7"/>
      <c r="AF110" s="14" t="str">
        <f aca="false">IF(D110="","",COUNTIF($D$2:D110,D110))</f>
        <v/>
      </c>
      <c r="AG110" s="15" t="str">
        <f aca="false" t="array" ref="AG110:AG110">IF(D110="","",IFERROR(MEDIAN(IF(($D$2:$D$401=D110)*($AF$2:$AF$401&gt;=AF110-5)*($AF$2:$AF$401&lt;=AF110-1)*($M$2:$M$401&lt;&gt;""),$M$2:$M$401)),""))</f>
        <v/>
      </c>
      <c r="AH110" s="16" t="str">
        <f aca="false">IF(AND(ISNUMBER(M110),ISNUMBER(AG110)),IF(AG110&gt;0,M110/AG110,""),"")</f>
        <v/>
      </c>
      <c r="AI110" s="15" t="str">
        <f aca="false" t="array" ref="AI110:AI110">IF(D110="","",IFERROR(MEDIAN(IF(($D$2:$D$401=D110)*($AF$2:$AF$401&gt;=AF110-5)*($AF$2:$AF$401&lt;=AF110-1)*($N$2:$N$401&lt;&gt;""),$N$2:$N$401)),""))</f>
        <v/>
      </c>
      <c r="AJ110" s="16" t="str">
        <f aca="false">IF(AND(ISNUMBER(N110),ISNUMBER(AI110)),IF(AI110&gt;0,N110/AI110,""),"")</f>
        <v/>
      </c>
      <c r="AK110" s="12" t="str">
        <f aca="false" t="array" ref="AK110:AK110">IF(D110="","",IFERROR(MEDIAN(IF(($D$2:$D$401=D110)*ISNUMBER($R$2:$R$401),$R$2:$R$401)),""))</f>
        <v/>
      </c>
      <c r="AL110" s="17" t="str">
        <f aca="false">IF(ISNUMBER(AJ110),IF(AND(AJ110&gt;=Resumen!$C$5,OR(NOT(ISNUMBER(R110)),NOT(ISNUMBER(AK110)),R110&gt;=AK110)),"Ganador",IF(AJ110&lt;=Resumen!$C$6,"Perdedor","Normal")),IF(ISNUMBER(AH110),IF(AH110&gt;=Resumen!$C$5,"Ganador (7 d, provisional)",IF(AH110&lt;=Resumen!$C$6,"Perdedor (7 d, provisional)","Normal (7 d, provisional)")),""))</f>
        <v/>
      </c>
      <c r="AM110" s="18" t="str">
        <f aca="false">IF(AND(ISNUMBER(Z110),ISNUMBER(N110)),IF(N110&gt;0,Z110/N110*1000,""),"")</f>
        <v/>
      </c>
      <c r="AN110" s="19" t="str">
        <f aca="false">IF(AND(ISNUMBER(U110),ISNUMBER(N110)),IF(N110&gt;0,U110/N110*1000,""),"")</f>
        <v/>
      </c>
    </row>
    <row r="111" customFormat="false" ht="15" hidden="false" customHeight="false" outlineLevel="0" collapsed="false">
      <c r="A111" s="7"/>
      <c r="B111" s="7"/>
      <c r="C111" s="8"/>
      <c r="D111" s="7"/>
      <c r="E111" s="7"/>
      <c r="F111" s="7"/>
      <c r="G111" s="7"/>
      <c r="H111" s="7"/>
      <c r="I111" s="7"/>
      <c r="J111" s="7"/>
      <c r="K111" s="9"/>
      <c r="L111" s="10"/>
      <c r="M111" s="10"/>
      <c r="N111" s="10"/>
      <c r="O111" s="10"/>
      <c r="P111" s="11"/>
      <c r="Q111" s="9"/>
      <c r="R111" s="12" t="str">
        <f aca="false">IF(AND(ISNUMBER(K111),ISNUMBER(Q111),K111&gt;0),Q111/K111,"")</f>
        <v/>
      </c>
      <c r="S111" s="11"/>
      <c r="T111" s="9"/>
      <c r="U111" s="10"/>
      <c r="V111" s="11"/>
      <c r="W111" s="11"/>
      <c r="X111" s="11"/>
      <c r="Y111" s="12" t="str">
        <f aca="false">IF(COUNT(V111:X111)=0,"",MAX(0,1-SUM(V111:X111)))</f>
        <v/>
      </c>
      <c r="Z111" s="13"/>
      <c r="AA111" s="9"/>
      <c r="AB111" s="7"/>
      <c r="AC111" s="7"/>
      <c r="AD111" s="7"/>
      <c r="AE111" s="7"/>
      <c r="AF111" s="14" t="str">
        <f aca="false">IF(D111="","",COUNTIF($D$2:D111,D111))</f>
        <v/>
      </c>
      <c r="AG111" s="15" t="str">
        <f aca="false" t="array" ref="AG111:AG111">IF(D111="","",IFERROR(MEDIAN(IF(($D$2:$D$401=D111)*($AF$2:$AF$401&gt;=AF111-5)*($AF$2:$AF$401&lt;=AF111-1)*($M$2:$M$401&lt;&gt;""),$M$2:$M$401)),""))</f>
        <v/>
      </c>
      <c r="AH111" s="16" t="str">
        <f aca="false">IF(AND(ISNUMBER(M111),ISNUMBER(AG111)),IF(AG111&gt;0,M111/AG111,""),"")</f>
        <v/>
      </c>
      <c r="AI111" s="15" t="str">
        <f aca="false" t="array" ref="AI111:AI111">IF(D111="","",IFERROR(MEDIAN(IF(($D$2:$D$401=D111)*($AF$2:$AF$401&gt;=AF111-5)*($AF$2:$AF$401&lt;=AF111-1)*($N$2:$N$401&lt;&gt;""),$N$2:$N$401)),""))</f>
        <v/>
      </c>
      <c r="AJ111" s="16" t="str">
        <f aca="false">IF(AND(ISNUMBER(N111),ISNUMBER(AI111)),IF(AI111&gt;0,N111/AI111,""),"")</f>
        <v/>
      </c>
      <c r="AK111" s="12" t="str">
        <f aca="false" t="array" ref="AK111:AK111">IF(D111="","",IFERROR(MEDIAN(IF(($D$2:$D$401=D111)*ISNUMBER($R$2:$R$401),$R$2:$R$401)),""))</f>
        <v/>
      </c>
      <c r="AL111" s="17" t="str">
        <f aca="false">IF(ISNUMBER(AJ111),IF(AND(AJ111&gt;=Resumen!$C$5,OR(NOT(ISNUMBER(R111)),NOT(ISNUMBER(AK111)),R111&gt;=AK111)),"Ganador",IF(AJ111&lt;=Resumen!$C$6,"Perdedor","Normal")),IF(ISNUMBER(AH111),IF(AH111&gt;=Resumen!$C$5,"Ganador (7 d, provisional)",IF(AH111&lt;=Resumen!$C$6,"Perdedor (7 d, provisional)","Normal (7 d, provisional)")),""))</f>
        <v/>
      </c>
      <c r="AM111" s="18" t="str">
        <f aca="false">IF(AND(ISNUMBER(Z111),ISNUMBER(N111)),IF(N111&gt;0,Z111/N111*1000,""),"")</f>
        <v/>
      </c>
      <c r="AN111" s="19" t="str">
        <f aca="false">IF(AND(ISNUMBER(U111),ISNUMBER(N111)),IF(N111&gt;0,U111/N111*1000,""),"")</f>
        <v/>
      </c>
    </row>
    <row r="112" customFormat="false" ht="15" hidden="false" customHeight="false" outlineLevel="0" collapsed="false">
      <c r="A112" s="7"/>
      <c r="B112" s="7"/>
      <c r="C112" s="8"/>
      <c r="D112" s="7"/>
      <c r="E112" s="7"/>
      <c r="F112" s="7"/>
      <c r="G112" s="7"/>
      <c r="H112" s="7"/>
      <c r="I112" s="7"/>
      <c r="J112" s="7"/>
      <c r="K112" s="9"/>
      <c r="L112" s="10"/>
      <c r="M112" s="10"/>
      <c r="N112" s="10"/>
      <c r="O112" s="10"/>
      <c r="P112" s="11"/>
      <c r="Q112" s="9"/>
      <c r="R112" s="12" t="str">
        <f aca="false">IF(AND(ISNUMBER(K112),ISNUMBER(Q112),K112&gt;0),Q112/K112,"")</f>
        <v/>
      </c>
      <c r="S112" s="11"/>
      <c r="T112" s="9"/>
      <c r="U112" s="10"/>
      <c r="V112" s="11"/>
      <c r="W112" s="11"/>
      <c r="X112" s="11"/>
      <c r="Y112" s="12" t="str">
        <f aca="false">IF(COUNT(V112:X112)=0,"",MAX(0,1-SUM(V112:X112)))</f>
        <v/>
      </c>
      <c r="Z112" s="13"/>
      <c r="AA112" s="9"/>
      <c r="AB112" s="7"/>
      <c r="AC112" s="7"/>
      <c r="AD112" s="7"/>
      <c r="AE112" s="7"/>
      <c r="AF112" s="14" t="str">
        <f aca="false">IF(D112="","",COUNTIF($D$2:D112,D112))</f>
        <v/>
      </c>
      <c r="AG112" s="15" t="str">
        <f aca="false" t="array" ref="AG112:AG112">IF(D112="","",IFERROR(MEDIAN(IF(($D$2:$D$401=D112)*($AF$2:$AF$401&gt;=AF112-5)*($AF$2:$AF$401&lt;=AF112-1)*($M$2:$M$401&lt;&gt;""),$M$2:$M$401)),""))</f>
        <v/>
      </c>
      <c r="AH112" s="16" t="str">
        <f aca="false">IF(AND(ISNUMBER(M112),ISNUMBER(AG112)),IF(AG112&gt;0,M112/AG112,""),"")</f>
        <v/>
      </c>
      <c r="AI112" s="15" t="str">
        <f aca="false" t="array" ref="AI112:AI112">IF(D112="","",IFERROR(MEDIAN(IF(($D$2:$D$401=D112)*($AF$2:$AF$401&gt;=AF112-5)*($AF$2:$AF$401&lt;=AF112-1)*($N$2:$N$401&lt;&gt;""),$N$2:$N$401)),""))</f>
        <v/>
      </c>
      <c r="AJ112" s="16" t="str">
        <f aca="false">IF(AND(ISNUMBER(N112),ISNUMBER(AI112)),IF(AI112&gt;0,N112/AI112,""),"")</f>
        <v/>
      </c>
      <c r="AK112" s="12" t="str">
        <f aca="false" t="array" ref="AK112:AK112">IF(D112="","",IFERROR(MEDIAN(IF(($D$2:$D$401=D112)*ISNUMBER($R$2:$R$401),$R$2:$R$401)),""))</f>
        <v/>
      </c>
      <c r="AL112" s="17" t="str">
        <f aca="false">IF(ISNUMBER(AJ112),IF(AND(AJ112&gt;=Resumen!$C$5,OR(NOT(ISNUMBER(R112)),NOT(ISNUMBER(AK112)),R112&gt;=AK112)),"Ganador",IF(AJ112&lt;=Resumen!$C$6,"Perdedor","Normal")),IF(ISNUMBER(AH112),IF(AH112&gt;=Resumen!$C$5,"Ganador (7 d, provisional)",IF(AH112&lt;=Resumen!$C$6,"Perdedor (7 d, provisional)","Normal (7 d, provisional)")),""))</f>
        <v/>
      </c>
      <c r="AM112" s="18" t="str">
        <f aca="false">IF(AND(ISNUMBER(Z112),ISNUMBER(N112)),IF(N112&gt;0,Z112/N112*1000,""),"")</f>
        <v/>
      </c>
      <c r="AN112" s="19" t="str">
        <f aca="false">IF(AND(ISNUMBER(U112),ISNUMBER(N112)),IF(N112&gt;0,U112/N112*1000,""),"")</f>
        <v/>
      </c>
    </row>
    <row r="113" customFormat="false" ht="15" hidden="false" customHeight="false" outlineLevel="0" collapsed="false">
      <c r="A113" s="7"/>
      <c r="B113" s="7"/>
      <c r="C113" s="8"/>
      <c r="D113" s="7"/>
      <c r="E113" s="7"/>
      <c r="F113" s="7"/>
      <c r="G113" s="7"/>
      <c r="H113" s="7"/>
      <c r="I113" s="7"/>
      <c r="J113" s="7"/>
      <c r="K113" s="9"/>
      <c r="L113" s="10"/>
      <c r="M113" s="10"/>
      <c r="N113" s="10"/>
      <c r="O113" s="10"/>
      <c r="P113" s="11"/>
      <c r="Q113" s="9"/>
      <c r="R113" s="12" t="str">
        <f aca="false">IF(AND(ISNUMBER(K113),ISNUMBER(Q113),K113&gt;0),Q113/K113,"")</f>
        <v/>
      </c>
      <c r="S113" s="11"/>
      <c r="T113" s="9"/>
      <c r="U113" s="10"/>
      <c r="V113" s="11"/>
      <c r="W113" s="11"/>
      <c r="X113" s="11"/>
      <c r="Y113" s="12" t="str">
        <f aca="false">IF(COUNT(V113:X113)=0,"",MAX(0,1-SUM(V113:X113)))</f>
        <v/>
      </c>
      <c r="Z113" s="13"/>
      <c r="AA113" s="9"/>
      <c r="AB113" s="7"/>
      <c r="AC113" s="7"/>
      <c r="AD113" s="7"/>
      <c r="AE113" s="7"/>
      <c r="AF113" s="14" t="str">
        <f aca="false">IF(D113="","",COUNTIF($D$2:D113,D113))</f>
        <v/>
      </c>
      <c r="AG113" s="15" t="str">
        <f aca="false" t="array" ref="AG113:AG113">IF(D113="","",IFERROR(MEDIAN(IF(($D$2:$D$401=D113)*($AF$2:$AF$401&gt;=AF113-5)*($AF$2:$AF$401&lt;=AF113-1)*($M$2:$M$401&lt;&gt;""),$M$2:$M$401)),""))</f>
        <v/>
      </c>
      <c r="AH113" s="16" t="str">
        <f aca="false">IF(AND(ISNUMBER(M113),ISNUMBER(AG113)),IF(AG113&gt;0,M113/AG113,""),"")</f>
        <v/>
      </c>
      <c r="AI113" s="15" t="str">
        <f aca="false" t="array" ref="AI113:AI113">IF(D113="","",IFERROR(MEDIAN(IF(($D$2:$D$401=D113)*($AF$2:$AF$401&gt;=AF113-5)*($AF$2:$AF$401&lt;=AF113-1)*($N$2:$N$401&lt;&gt;""),$N$2:$N$401)),""))</f>
        <v/>
      </c>
      <c r="AJ113" s="16" t="str">
        <f aca="false">IF(AND(ISNUMBER(N113),ISNUMBER(AI113)),IF(AI113&gt;0,N113/AI113,""),"")</f>
        <v/>
      </c>
      <c r="AK113" s="12" t="str">
        <f aca="false" t="array" ref="AK113:AK113">IF(D113="","",IFERROR(MEDIAN(IF(($D$2:$D$401=D113)*ISNUMBER($R$2:$R$401),$R$2:$R$401)),""))</f>
        <v/>
      </c>
      <c r="AL113" s="17" t="str">
        <f aca="false">IF(ISNUMBER(AJ113),IF(AND(AJ113&gt;=Resumen!$C$5,OR(NOT(ISNUMBER(R113)),NOT(ISNUMBER(AK113)),R113&gt;=AK113)),"Ganador",IF(AJ113&lt;=Resumen!$C$6,"Perdedor","Normal")),IF(ISNUMBER(AH113),IF(AH113&gt;=Resumen!$C$5,"Ganador (7 d, provisional)",IF(AH113&lt;=Resumen!$C$6,"Perdedor (7 d, provisional)","Normal (7 d, provisional)")),""))</f>
        <v/>
      </c>
      <c r="AM113" s="18" t="str">
        <f aca="false">IF(AND(ISNUMBER(Z113),ISNUMBER(N113)),IF(N113&gt;0,Z113/N113*1000,""),"")</f>
        <v/>
      </c>
      <c r="AN113" s="19" t="str">
        <f aca="false">IF(AND(ISNUMBER(U113),ISNUMBER(N113)),IF(N113&gt;0,U113/N113*1000,""),"")</f>
        <v/>
      </c>
    </row>
    <row r="114" customFormat="false" ht="15" hidden="false" customHeight="false" outlineLevel="0" collapsed="false">
      <c r="A114" s="7"/>
      <c r="B114" s="7"/>
      <c r="C114" s="8"/>
      <c r="D114" s="7"/>
      <c r="E114" s="7"/>
      <c r="F114" s="7"/>
      <c r="G114" s="7"/>
      <c r="H114" s="7"/>
      <c r="I114" s="7"/>
      <c r="J114" s="7"/>
      <c r="K114" s="9"/>
      <c r="L114" s="10"/>
      <c r="M114" s="10"/>
      <c r="N114" s="10"/>
      <c r="O114" s="10"/>
      <c r="P114" s="11"/>
      <c r="Q114" s="9"/>
      <c r="R114" s="12" t="str">
        <f aca="false">IF(AND(ISNUMBER(K114),ISNUMBER(Q114),K114&gt;0),Q114/K114,"")</f>
        <v/>
      </c>
      <c r="S114" s="11"/>
      <c r="T114" s="9"/>
      <c r="U114" s="10"/>
      <c r="V114" s="11"/>
      <c r="W114" s="11"/>
      <c r="X114" s="11"/>
      <c r="Y114" s="12" t="str">
        <f aca="false">IF(COUNT(V114:X114)=0,"",MAX(0,1-SUM(V114:X114)))</f>
        <v/>
      </c>
      <c r="Z114" s="13"/>
      <c r="AA114" s="9"/>
      <c r="AB114" s="7"/>
      <c r="AC114" s="7"/>
      <c r="AD114" s="7"/>
      <c r="AE114" s="7"/>
      <c r="AF114" s="14" t="str">
        <f aca="false">IF(D114="","",COUNTIF($D$2:D114,D114))</f>
        <v/>
      </c>
      <c r="AG114" s="15" t="str">
        <f aca="false" t="array" ref="AG114:AG114">IF(D114="","",IFERROR(MEDIAN(IF(($D$2:$D$401=D114)*($AF$2:$AF$401&gt;=AF114-5)*($AF$2:$AF$401&lt;=AF114-1)*($M$2:$M$401&lt;&gt;""),$M$2:$M$401)),""))</f>
        <v/>
      </c>
      <c r="AH114" s="16" t="str">
        <f aca="false">IF(AND(ISNUMBER(M114),ISNUMBER(AG114)),IF(AG114&gt;0,M114/AG114,""),"")</f>
        <v/>
      </c>
      <c r="AI114" s="15" t="str">
        <f aca="false" t="array" ref="AI114:AI114">IF(D114="","",IFERROR(MEDIAN(IF(($D$2:$D$401=D114)*($AF$2:$AF$401&gt;=AF114-5)*($AF$2:$AF$401&lt;=AF114-1)*($N$2:$N$401&lt;&gt;""),$N$2:$N$401)),""))</f>
        <v/>
      </c>
      <c r="AJ114" s="16" t="str">
        <f aca="false">IF(AND(ISNUMBER(N114),ISNUMBER(AI114)),IF(AI114&gt;0,N114/AI114,""),"")</f>
        <v/>
      </c>
      <c r="AK114" s="12" t="str">
        <f aca="false" t="array" ref="AK114:AK114">IF(D114="","",IFERROR(MEDIAN(IF(($D$2:$D$401=D114)*ISNUMBER($R$2:$R$401),$R$2:$R$401)),""))</f>
        <v/>
      </c>
      <c r="AL114" s="17" t="str">
        <f aca="false">IF(ISNUMBER(AJ114),IF(AND(AJ114&gt;=Resumen!$C$5,OR(NOT(ISNUMBER(R114)),NOT(ISNUMBER(AK114)),R114&gt;=AK114)),"Ganador",IF(AJ114&lt;=Resumen!$C$6,"Perdedor","Normal")),IF(ISNUMBER(AH114),IF(AH114&gt;=Resumen!$C$5,"Ganador (7 d, provisional)",IF(AH114&lt;=Resumen!$C$6,"Perdedor (7 d, provisional)","Normal (7 d, provisional)")),""))</f>
        <v/>
      </c>
      <c r="AM114" s="18" t="str">
        <f aca="false">IF(AND(ISNUMBER(Z114),ISNUMBER(N114)),IF(N114&gt;0,Z114/N114*1000,""),"")</f>
        <v/>
      </c>
      <c r="AN114" s="19" t="str">
        <f aca="false">IF(AND(ISNUMBER(U114),ISNUMBER(N114)),IF(N114&gt;0,U114/N114*1000,""),"")</f>
        <v/>
      </c>
    </row>
    <row r="115" customFormat="false" ht="15" hidden="false" customHeight="false" outlineLevel="0" collapsed="false">
      <c r="A115" s="7"/>
      <c r="B115" s="7"/>
      <c r="C115" s="8"/>
      <c r="D115" s="7"/>
      <c r="E115" s="7"/>
      <c r="F115" s="7"/>
      <c r="G115" s="7"/>
      <c r="H115" s="7"/>
      <c r="I115" s="7"/>
      <c r="J115" s="7"/>
      <c r="K115" s="9"/>
      <c r="L115" s="10"/>
      <c r="M115" s="10"/>
      <c r="N115" s="10"/>
      <c r="O115" s="10"/>
      <c r="P115" s="11"/>
      <c r="Q115" s="9"/>
      <c r="R115" s="12" t="str">
        <f aca="false">IF(AND(ISNUMBER(K115),ISNUMBER(Q115),K115&gt;0),Q115/K115,"")</f>
        <v/>
      </c>
      <c r="S115" s="11"/>
      <c r="T115" s="9"/>
      <c r="U115" s="10"/>
      <c r="V115" s="11"/>
      <c r="W115" s="11"/>
      <c r="X115" s="11"/>
      <c r="Y115" s="12" t="str">
        <f aca="false">IF(COUNT(V115:X115)=0,"",MAX(0,1-SUM(V115:X115)))</f>
        <v/>
      </c>
      <c r="Z115" s="13"/>
      <c r="AA115" s="9"/>
      <c r="AB115" s="7"/>
      <c r="AC115" s="7"/>
      <c r="AD115" s="7"/>
      <c r="AE115" s="7"/>
      <c r="AF115" s="14" t="str">
        <f aca="false">IF(D115="","",COUNTIF($D$2:D115,D115))</f>
        <v/>
      </c>
      <c r="AG115" s="15" t="str">
        <f aca="false" t="array" ref="AG115:AG115">IF(D115="","",IFERROR(MEDIAN(IF(($D$2:$D$401=D115)*($AF$2:$AF$401&gt;=AF115-5)*($AF$2:$AF$401&lt;=AF115-1)*($M$2:$M$401&lt;&gt;""),$M$2:$M$401)),""))</f>
        <v/>
      </c>
      <c r="AH115" s="16" t="str">
        <f aca="false">IF(AND(ISNUMBER(M115),ISNUMBER(AG115)),IF(AG115&gt;0,M115/AG115,""),"")</f>
        <v/>
      </c>
      <c r="AI115" s="15" t="str">
        <f aca="false" t="array" ref="AI115:AI115">IF(D115="","",IFERROR(MEDIAN(IF(($D$2:$D$401=D115)*($AF$2:$AF$401&gt;=AF115-5)*($AF$2:$AF$401&lt;=AF115-1)*($N$2:$N$401&lt;&gt;""),$N$2:$N$401)),""))</f>
        <v/>
      </c>
      <c r="AJ115" s="16" t="str">
        <f aca="false">IF(AND(ISNUMBER(N115),ISNUMBER(AI115)),IF(AI115&gt;0,N115/AI115,""),"")</f>
        <v/>
      </c>
      <c r="AK115" s="12" t="str">
        <f aca="false" t="array" ref="AK115:AK115">IF(D115="","",IFERROR(MEDIAN(IF(($D$2:$D$401=D115)*ISNUMBER($R$2:$R$401),$R$2:$R$401)),""))</f>
        <v/>
      </c>
      <c r="AL115" s="17" t="str">
        <f aca="false">IF(ISNUMBER(AJ115),IF(AND(AJ115&gt;=Resumen!$C$5,OR(NOT(ISNUMBER(R115)),NOT(ISNUMBER(AK115)),R115&gt;=AK115)),"Ganador",IF(AJ115&lt;=Resumen!$C$6,"Perdedor","Normal")),IF(ISNUMBER(AH115),IF(AH115&gt;=Resumen!$C$5,"Ganador (7 d, provisional)",IF(AH115&lt;=Resumen!$C$6,"Perdedor (7 d, provisional)","Normal (7 d, provisional)")),""))</f>
        <v/>
      </c>
      <c r="AM115" s="18" t="str">
        <f aca="false">IF(AND(ISNUMBER(Z115),ISNUMBER(N115)),IF(N115&gt;0,Z115/N115*1000,""),"")</f>
        <v/>
      </c>
      <c r="AN115" s="19" t="str">
        <f aca="false">IF(AND(ISNUMBER(U115),ISNUMBER(N115)),IF(N115&gt;0,U115/N115*1000,""),"")</f>
        <v/>
      </c>
    </row>
    <row r="116" customFormat="false" ht="15" hidden="false" customHeight="false" outlineLevel="0" collapsed="false">
      <c r="A116" s="7"/>
      <c r="B116" s="7"/>
      <c r="C116" s="8"/>
      <c r="D116" s="7"/>
      <c r="E116" s="7"/>
      <c r="F116" s="7"/>
      <c r="G116" s="7"/>
      <c r="H116" s="7"/>
      <c r="I116" s="7"/>
      <c r="J116" s="7"/>
      <c r="K116" s="9"/>
      <c r="L116" s="10"/>
      <c r="M116" s="10"/>
      <c r="N116" s="10"/>
      <c r="O116" s="10"/>
      <c r="P116" s="11"/>
      <c r="Q116" s="9"/>
      <c r="R116" s="12" t="str">
        <f aca="false">IF(AND(ISNUMBER(K116),ISNUMBER(Q116),K116&gt;0),Q116/K116,"")</f>
        <v/>
      </c>
      <c r="S116" s="11"/>
      <c r="T116" s="9"/>
      <c r="U116" s="10"/>
      <c r="V116" s="11"/>
      <c r="W116" s="11"/>
      <c r="X116" s="11"/>
      <c r="Y116" s="12" t="str">
        <f aca="false">IF(COUNT(V116:X116)=0,"",MAX(0,1-SUM(V116:X116)))</f>
        <v/>
      </c>
      <c r="Z116" s="13"/>
      <c r="AA116" s="9"/>
      <c r="AB116" s="7"/>
      <c r="AC116" s="7"/>
      <c r="AD116" s="7"/>
      <c r="AE116" s="7"/>
      <c r="AF116" s="14" t="str">
        <f aca="false">IF(D116="","",COUNTIF($D$2:D116,D116))</f>
        <v/>
      </c>
      <c r="AG116" s="15" t="str">
        <f aca="false" t="array" ref="AG116:AG116">IF(D116="","",IFERROR(MEDIAN(IF(($D$2:$D$401=D116)*($AF$2:$AF$401&gt;=AF116-5)*($AF$2:$AF$401&lt;=AF116-1)*($M$2:$M$401&lt;&gt;""),$M$2:$M$401)),""))</f>
        <v/>
      </c>
      <c r="AH116" s="16" t="str">
        <f aca="false">IF(AND(ISNUMBER(M116),ISNUMBER(AG116)),IF(AG116&gt;0,M116/AG116,""),"")</f>
        <v/>
      </c>
      <c r="AI116" s="15" t="str">
        <f aca="false" t="array" ref="AI116:AI116">IF(D116="","",IFERROR(MEDIAN(IF(($D$2:$D$401=D116)*($AF$2:$AF$401&gt;=AF116-5)*($AF$2:$AF$401&lt;=AF116-1)*($N$2:$N$401&lt;&gt;""),$N$2:$N$401)),""))</f>
        <v/>
      </c>
      <c r="AJ116" s="16" t="str">
        <f aca="false">IF(AND(ISNUMBER(N116),ISNUMBER(AI116)),IF(AI116&gt;0,N116/AI116,""),"")</f>
        <v/>
      </c>
      <c r="AK116" s="12" t="str">
        <f aca="false" t="array" ref="AK116:AK116">IF(D116="","",IFERROR(MEDIAN(IF(($D$2:$D$401=D116)*ISNUMBER($R$2:$R$401),$R$2:$R$401)),""))</f>
        <v/>
      </c>
      <c r="AL116" s="17" t="str">
        <f aca="false">IF(ISNUMBER(AJ116),IF(AND(AJ116&gt;=Resumen!$C$5,OR(NOT(ISNUMBER(R116)),NOT(ISNUMBER(AK116)),R116&gt;=AK116)),"Ganador",IF(AJ116&lt;=Resumen!$C$6,"Perdedor","Normal")),IF(ISNUMBER(AH116),IF(AH116&gt;=Resumen!$C$5,"Ganador (7 d, provisional)",IF(AH116&lt;=Resumen!$C$6,"Perdedor (7 d, provisional)","Normal (7 d, provisional)")),""))</f>
        <v/>
      </c>
      <c r="AM116" s="18" t="str">
        <f aca="false">IF(AND(ISNUMBER(Z116),ISNUMBER(N116)),IF(N116&gt;0,Z116/N116*1000,""),"")</f>
        <v/>
      </c>
      <c r="AN116" s="19" t="str">
        <f aca="false">IF(AND(ISNUMBER(U116),ISNUMBER(N116)),IF(N116&gt;0,U116/N116*1000,""),"")</f>
        <v/>
      </c>
    </row>
    <row r="117" customFormat="false" ht="15" hidden="false" customHeight="false" outlineLevel="0" collapsed="false">
      <c r="A117" s="7"/>
      <c r="B117" s="7"/>
      <c r="C117" s="8"/>
      <c r="D117" s="7"/>
      <c r="E117" s="7"/>
      <c r="F117" s="7"/>
      <c r="G117" s="7"/>
      <c r="H117" s="7"/>
      <c r="I117" s="7"/>
      <c r="J117" s="7"/>
      <c r="K117" s="9"/>
      <c r="L117" s="10"/>
      <c r="M117" s="10"/>
      <c r="N117" s="10"/>
      <c r="O117" s="10"/>
      <c r="P117" s="11"/>
      <c r="Q117" s="9"/>
      <c r="R117" s="12" t="str">
        <f aca="false">IF(AND(ISNUMBER(K117),ISNUMBER(Q117),K117&gt;0),Q117/K117,"")</f>
        <v/>
      </c>
      <c r="S117" s="11"/>
      <c r="T117" s="9"/>
      <c r="U117" s="10"/>
      <c r="V117" s="11"/>
      <c r="W117" s="11"/>
      <c r="X117" s="11"/>
      <c r="Y117" s="12" t="str">
        <f aca="false">IF(COUNT(V117:X117)=0,"",MAX(0,1-SUM(V117:X117)))</f>
        <v/>
      </c>
      <c r="Z117" s="13"/>
      <c r="AA117" s="9"/>
      <c r="AB117" s="7"/>
      <c r="AC117" s="7"/>
      <c r="AD117" s="7"/>
      <c r="AE117" s="7"/>
      <c r="AF117" s="14" t="str">
        <f aca="false">IF(D117="","",COUNTIF($D$2:D117,D117))</f>
        <v/>
      </c>
      <c r="AG117" s="15" t="str">
        <f aca="false" t="array" ref="AG117:AG117">IF(D117="","",IFERROR(MEDIAN(IF(($D$2:$D$401=D117)*($AF$2:$AF$401&gt;=AF117-5)*($AF$2:$AF$401&lt;=AF117-1)*($M$2:$M$401&lt;&gt;""),$M$2:$M$401)),""))</f>
        <v/>
      </c>
      <c r="AH117" s="16" t="str">
        <f aca="false">IF(AND(ISNUMBER(M117),ISNUMBER(AG117)),IF(AG117&gt;0,M117/AG117,""),"")</f>
        <v/>
      </c>
      <c r="AI117" s="15" t="str">
        <f aca="false" t="array" ref="AI117:AI117">IF(D117="","",IFERROR(MEDIAN(IF(($D$2:$D$401=D117)*($AF$2:$AF$401&gt;=AF117-5)*($AF$2:$AF$401&lt;=AF117-1)*($N$2:$N$401&lt;&gt;""),$N$2:$N$401)),""))</f>
        <v/>
      </c>
      <c r="AJ117" s="16" t="str">
        <f aca="false">IF(AND(ISNUMBER(N117),ISNUMBER(AI117)),IF(AI117&gt;0,N117/AI117,""),"")</f>
        <v/>
      </c>
      <c r="AK117" s="12" t="str">
        <f aca="false" t="array" ref="AK117:AK117">IF(D117="","",IFERROR(MEDIAN(IF(($D$2:$D$401=D117)*ISNUMBER($R$2:$R$401),$R$2:$R$401)),""))</f>
        <v/>
      </c>
      <c r="AL117" s="17" t="str">
        <f aca="false">IF(ISNUMBER(AJ117),IF(AND(AJ117&gt;=Resumen!$C$5,OR(NOT(ISNUMBER(R117)),NOT(ISNUMBER(AK117)),R117&gt;=AK117)),"Ganador",IF(AJ117&lt;=Resumen!$C$6,"Perdedor","Normal")),IF(ISNUMBER(AH117),IF(AH117&gt;=Resumen!$C$5,"Ganador (7 d, provisional)",IF(AH117&lt;=Resumen!$C$6,"Perdedor (7 d, provisional)","Normal (7 d, provisional)")),""))</f>
        <v/>
      </c>
      <c r="AM117" s="18" t="str">
        <f aca="false">IF(AND(ISNUMBER(Z117),ISNUMBER(N117)),IF(N117&gt;0,Z117/N117*1000,""),"")</f>
        <v/>
      </c>
      <c r="AN117" s="19" t="str">
        <f aca="false">IF(AND(ISNUMBER(U117),ISNUMBER(N117)),IF(N117&gt;0,U117/N117*1000,""),"")</f>
        <v/>
      </c>
    </row>
    <row r="118" customFormat="false" ht="15" hidden="false" customHeight="false" outlineLevel="0" collapsed="false">
      <c r="A118" s="7"/>
      <c r="B118" s="7"/>
      <c r="C118" s="8"/>
      <c r="D118" s="7"/>
      <c r="E118" s="7"/>
      <c r="F118" s="7"/>
      <c r="G118" s="7"/>
      <c r="H118" s="7"/>
      <c r="I118" s="7"/>
      <c r="J118" s="7"/>
      <c r="K118" s="9"/>
      <c r="L118" s="10"/>
      <c r="M118" s="10"/>
      <c r="N118" s="10"/>
      <c r="O118" s="10"/>
      <c r="P118" s="11"/>
      <c r="Q118" s="9"/>
      <c r="R118" s="12" t="str">
        <f aca="false">IF(AND(ISNUMBER(K118),ISNUMBER(Q118),K118&gt;0),Q118/K118,"")</f>
        <v/>
      </c>
      <c r="S118" s="11"/>
      <c r="T118" s="9"/>
      <c r="U118" s="10"/>
      <c r="V118" s="11"/>
      <c r="W118" s="11"/>
      <c r="X118" s="11"/>
      <c r="Y118" s="12" t="str">
        <f aca="false">IF(COUNT(V118:X118)=0,"",MAX(0,1-SUM(V118:X118)))</f>
        <v/>
      </c>
      <c r="Z118" s="13"/>
      <c r="AA118" s="9"/>
      <c r="AB118" s="7"/>
      <c r="AC118" s="7"/>
      <c r="AD118" s="7"/>
      <c r="AE118" s="7"/>
      <c r="AF118" s="14" t="str">
        <f aca="false">IF(D118="","",COUNTIF($D$2:D118,D118))</f>
        <v/>
      </c>
      <c r="AG118" s="15" t="str">
        <f aca="false" t="array" ref="AG118:AG118">IF(D118="","",IFERROR(MEDIAN(IF(($D$2:$D$401=D118)*($AF$2:$AF$401&gt;=AF118-5)*($AF$2:$AF$401&lt;=AF118-1)*($M$2:$M$401&lt;&gt;""),$M$2:$M$401)),""))</f>
        <v/>
      </c>
      <c r="AH118" s="16" t="str">
        <f aca="false">IF(AND(ISNUMBER(M118),ISNUMBER(AG118)),IF(AG118&gt;0,M118/AG118,""),"")</f>
        <v/>
      </c>
      <c r="AI118" s="15" t="str">
        <f aca="false" t="array" ref="AI118:AI118">IF(D118="","",IFERROR(MEDIAN(IF(($D$2:$D$401=D118)*($AF$2:$AF$401&gt;=AF118-5)*($AF$2:$AF$401&lt;=AF118-1)*($N$2:$N$401&lt;&gt;""),$N$2:$N$401)),""))</f>
        <v/>
      </c>
      <c r="AJ118" s="16" t="str">
        <f aca="false">IF(AND(ISNUMBER(N118),ISNUMBER(AI118)),IF(AI118&gt;0,N118/AI118,""),"")</f>
        <v/>
      </c>
      <c r="AK118" s="12" t="str">
        <f aca="false" t="array" ref="AK118:AK118">IF(D118="","",IFERROR(MEDIAN(IF(($D$2:$D$401=D118)*ISNUMBER($R$2:$R$401),$R$2:$R$401)),""))</f>
        <v/>
      </c>
      <c r="AL118" s="17" t="str">
        <f aca="false">IF(ISNUMBER(AJ118),IF(AND(AJ118&gt;=Resumen!$C$5,OR(NOT(ISNUMBER(R118)),NOT(ISNUMBER(AK118)),R118&gt;=AK118)),"Ganador",IF(AJ118&lt;=Resumen!$C$6,"Perdedor","Normal")),IF(ISNUMBER(AH118),IF(AH118&gt;=Resumen!$C$5,"Ganador (7 d, provisional)",IF(AH118&lt;=Resumen!$C$6,"Perdedor (7 d, provisional)","Normal (7 d, provisional)")),""))</f>
        <v/>
      </c>
      <c r="AM118" s="18" t="str">
        <f aca="false">IF(AND(ISNUMBER(Z118),ISNUMBER(N118)),IF(N118&gt;0,Z118/N118*1000,""),"")</f>
        <v/>
      </c>
      <c r="AN118" s="19" t="str">
        <f aca="false">IF(AND(ISNUMBER(U118),ISNUMBER(N118)),IF(N118&gt;0,U118/N118*1000,""),"")</f>
        <v/>
      </c>
    </row>
    <row r="119" customFormat="false" ht="15" hidden="false" customHeight="false" outlineLevel="0" collapsed="false">
      <c r="A119" s="7"/>
      <c r="B119" s="7"/>
      <c r="C119" s="8"/>
      <c r="D119" s="7"/>
      <c r="E119" s="7"/>
      <c r="F119" s="7"/>
      <c r="G119" s="7"/>
      <c r="H119" s="7"/>
      <c r="I119" s="7"/>
      <c r="J119" s="7"/>
      <c r="K119" s="9"/>
      <c r="L119" s="10"/>
      <c r="M119" s="10"/>
      <c r="N119" s="10"/>
      <c r="O119" s="10"/>
      <c r="P119" s="11"/>
      <c r="Q119" s="9"/>
      <c r="R119" s="12" t="str">
        <f aca="false">IF(AND(ISNUMBER(K119),ISNUMBER(Q119),K119&gt;0),Q119/K119,"")</f>
        <v/>
      </c>
      <c r="S119" s="11"/>
      <c r="T119" s="9"/>
      <c r="U119" s="10"/>
      <c r="V119" s="11"/>
      <c r="W119" s="11"/>
      <c r="X119" s="11"/>
      <c r="Y119" s="12" t="str">
        <f aca="false">IF(COUNT(V119:X119)=0,"",MAX(0,1-SUM(V119:X119)))</f>
        <v/>
      </c>
      <c r="Z119" s="13"/>
      <c r="AA119" s="9"/>
      <c r="AB119" s="7"/>
      <c r="AC119" s="7"/>
      <c r="AD119" s="7"/>
      <c r="AE119" s="7"/>
      <c r="AF119" s="14" t="str">
        <f aca="false">IF(D119="","",COUNTIF($D$2:D119,D119))</f>
        <v/>
      </c>
      <c r="AG119" s="15" t="str">
        <f aca="false" t="array" ref="AG119:AG119">IF(D119="","",IFERROR(MEDIAN(IF(($D$2:$D$401=D119)*($AF$2:$AF$401&gt;=AF119-5)*($AF$2:$AF$401&lt;=AF119-1)*($M$2:$M$401&lt;&gt;""),$M$2:$M$401)),""))</f>
        <v/>
      </c>
      <c r="AH119" s="16" t="str">
        <f aca="false">IF(AND(ISNUMBER(M119),ISNUMBER(AG119)),IF(AG119&gt;0,M119/AG119,""),"")</f>
        <v/>
      </c>
      <c r="AI119" s="15" t="str">
        <f aca="false" t="array" ref="AI119:AI119">IF(D119="","",IFERROR(MEDIAN(IF(($D$2:$D$401=D119)*($AF$2:$AF$401&gt;=AF119-5)*($AF$2:$AF$401&lt;=AF119-1)*($N$2:$N$401&lt;&gt;""),$N$2:$N$401)),""))</f>
        <v/>
      </c>
      <c r="AJ119" s="16" t="str">
        <f aca="false">IF(AND(ISNUMBER(N119),ISNUMBER(AI119)),IF(AI119&gt;0,N119/AI119,""),"")</f>
        <v/>
      </c>
      <c r="AK119" s="12" t="str">
        <f aca="false" t="array" ref="AK119:AK119">IF(D119="","",IFERROR(MEDIAN(IF(($D$2:$D$401=D119)*ISNUMBER($R$2:$R$401),$R$2:$R$401)),""))</f>
        <v/>
      </c>
      <c r="AL119" s="17" t="str">
        <f aca="false">IF(ISNUMBER(AJ119),IF(AND(AJ119&gt;=Resumen!$C$5,OR(NOT(ISNUMBER(R119)),NOT(ISNUMBER(AK119)),R119&gt;=AK119)),"Ganador",IF(AJ119&lt;=Resumen!$C$6,"Perdedor","Normal")),IF(ISNUMBER(AH119),IF(AH119&gt;=Resumen!$C$5,"Ganador (7 d, provisional)",IF(AH119&lt;=Resumen!$C$6,"Perdedor (7 d, provisional)","Normal (7 d, provisional)")),""))</f>
        <v/>
      </c>
      <c r="AM119" s="18" t="str">
        <f aca="false">IF(AND(ISNUMBER(Z119),ISNUMBER(N119)),IF(N119&gt;0,Z119/N119*1000,""),"")</f>
        <v/>
      </c>
      <c r="AN119" s="19" t="str">
        <f aca="false">IF(AND(ISNUMBER(U119),ISNUMBER(N119)),IF(N119&gt;0,U119/N119*1000,""),"")</f>
        <v/>
      </c>
    </row>
    <row r="120" customFormat="false" ht="15" hidden="false" customHeight="false" outlineLevel="0" collapsed="false">
      <c r="A120" s="7"/>
      <c r="B120" s="7"/>
      <c r="C120" s="8"/>
      <c r="D120" s="7"/>
      <c r="E120" s="7"/>
      <c r="F120" s="7"/>
      <c r="G120" s="7"/>
      <c r="H120" s="7"/>
      <c r="I120" s="7"/>
      <c r="J120" s="7"/>
      <c r="K120" s="9"/>
      <c r="L120" s="10"/>
      <c r="M120" s="10"/>
      <c r="N120" s="10"/>
      <c r="O120" s="10"/>
      <c r="P120" s="11"/>
      <c r="Q120" s="9"/>
      <c r="R120" s="12" t="str">
        <f aca="false">IF(AND(ISNUMBER(K120),ISNUMBER(Q120),K120&gt;0),Q120/K120,"")</f>
        <v/>
      </c>
      <c r="S120" s="11"/>
      <c r="T120" s="9"/>
      <c r="U120" s="10"/>
      <c r="V120" s="11"/>
      <c r="W120" s="11"/>
      <c r="X120" s="11"/>
      <c r="Y120" s="12" t="str">
        <f aca="false">IF(COUNT(V120:X120)=0,"",MAX(0,1-SUM(V120:X120)))</f>
        <v/>
      </c>
      <c r="Z120" s="13"/>
      <c r="AA120" s="9"/>
      <c r="AB120" s="7"/>
      <c r="AC120" s="7"/>
      <c r="AD120" s="7"/>
      <c r="AE120" s="7"/>
      <c r="AF120" s="14" t="str">
        <f aca="false">IF(D120="","",COUNTIF($D$2:D120,D120))</f>
        <v/>
      </c>
      <c r="AG120" s="15" t="str">
        <f aca="false" t="array" ref="AG120:AG120">IF(D120="","",IFERROR(MEDIAN(IF(($D$2:$D$401=D120)*($AF$2:$AF$401&gt;=AF120-5)*($AF$2:$AF$401&lt;=AF120-1)*($M$2:$M$401&lt;&gt;""),$M$2:$M$401)),""))</f>
        <v/>
      </c>
      <c r="AH120" s="16" t="str">
        <f aca="false">IF(AND(ISNUMBER(M120),ISNUMBER(AG120)),IF(AG120&gt;0,M120/AG120,""),"")</f>
        <v/>
      </c>
      <c r="AI120" s="15" t="str">
        <f aca="false" t="array" ref="AI120:AI120">IF(D120="","",IFERROR(MEDIAN(IF(($D$2:$D$401=D120)*($AF$2:$AF$401&gt;=AF120-5)*($AF$2:$AF$401&lt;=AF120-1)*($N$2:$N$401&lt;&gt;""),$N$2:$N$401)),""))</f>
        <v/>
      </c>
      <c r="AJ120" s="16" t="str">
        <f aca="false">IF(AND(ISNUMBER(N120),ISNUMBER(AI120)),IF(AI120&gt;0,N120/AI120,""),"")</f>
        <v/>
      </c>
      <c r="AK120" s="12" t="str">
        <f aca="false" t="array" ref="AK120:AK120">IF(D120="","",IFERROR(MEDIAN(IF(($D$2:$D$401=D120)*ISNUMBER($R$2:$R$401),$R$2:$R$401)),""))</f>
        <v/>
      </c>
      <c r="AL120" s="17" t="str">
        <f aca="false">IF(ISNUMBER(AJ120),IF(AND(AJ120&gt;=Resumen!$C$5,OR(NOT(ISNUMBER(R120)),NOT(ISNUMBER(AK120)),R120&gt;=AK120)),"Ganador",IF(AJ120&lt;=Resumen!$C$6,"Perdedor","Normal")),IF(ISNUMBER(AH120),IF(AH120&gt;=Resumen!$C$5,"Ganador (7 d, provisional)",IF(AH120&lt;=Resumen!$C$6,"Perdedor (7 d, provisional)","Normal (7 d, provisional)")),""))</f>
        <v/>
      </c>
      <c r="AM120" s="18" t="str">
        <f aca="false">IF(AND(ISNUMBER(Z120),ISNUMBER(N120)),IF(N120&gt;0,Z120/N120*1000,""),"")</f>
        <v/>
      </c>
      <c r="AN120" s="19" t="str">
        <f aca="false">IF(AND(ISNUMBER(U120),ISNUMBER(N120)),IF(N120&gt;0,U120/N120*1000,""),"")</f>
        <v/>
      </c>
    </row>
    <row r="121" customFormat="false" ht="15" hidden="false" customHeight="false" outlineLevel="0" collapsed="false">
      <c r="A121" s="7"/>
      <c r="B121" s="7"/>
      <c r="C121" s="8"/>
      <c r="D121" s="7"/>
      <c r="E121" s="7"/>
      <c r="F121" s="7"/>
      <c r="G121" s="7"/>
      <c r="H121" s="7"/>
      <c r="I121" s="7"/>
      <c r="J121" s="7"/>
      <c r="K121" s="9"/>
      <c r="L121" s="10"/>
      <c r="M121" s="10"/>
      <c r="N121" s="10"/>
      <c r="O121" s="10"/>
      <c r="P121" s="11"/>
      <c r="Q121" s="9"/>
      <c r="R121" s="12" t="str">
        <f aca="false">IF(AND(ISNUMBER(K121),ISNUMBER(Q121),K121&gt;0),Q121/K121,"")</f>
        <v/>
      </c>
      <c r="S121" s="11"/>
      <c r="T121" s="9"/>
      <c r="U121" s="10"/>
      <c r="V121" s="11"/>
      <c r="W121" s="11"/>
      <c r="X121" s="11"/>
      <c r="Y121" s="12" t="str">
        <f aca="false">IF(COUNT(V121:X121)=0,"",MAX(0,1-SUM(V121:X121)))</f>
        <v/>
      </c>
      <c r="Z121" s="13"/>
      <c r="AA121" s="9"/>
      <c r="AB121" s="7"/>
      <c r="AC121" s="7"/>
      <c r="AD121" s="7"/>
      <c r="AE121" s="7"/>
      <c r="AF121" s="14" t="str">
        <f aca="false">IF(D121="","",COUNTIF($D$2:D121,D121))</f>
        <v/>
      </c>
      <c r="AG121" s="15" t="str">
        <f aca="false" t="array" ref="AG121:AG121">IF(D121="","",IFERROR(MEDIAN(IF(($D$2:$D$401=D121)*($AF$2:$AF$401&gt;=AF121-5)*($AF$2:$AF$401&lt;=AF121-1)*($M$2:$M$401&lt;&gt;""),$M$2:$M$401)),""))</f>
        <v/>
      </c>
      <c r="AH121" s="16" t="str">
        <f aca="false">IF(AND(ISNUMBER(M121),ISNUMBER(AG121)),IF(AG121&gt;0,M121/AG121,""),"")</f>
        <v/>
      </c>
      <c r="AI121" s="15" t="str">
        <f aca="false" t="array" ref="AI121:AI121">IF(D121="","",IFERROR(MEDIAN(IF(($D$2:$D$401=D121)*($AF$2:$AF$401&gt;=AF121-5)*($AF$2:$AF$401&lt;=AF121-1)*($N$2:$N$401&lt;&gt;""),$N$2:$N$401)),""))</f>
        <v/>
      </c>
      <c r="AJ121" s="16" t="str">
        <f aca="false">IF(AND(ISNUMBER(N121),ISNUMBER(AI121)),IF(AI121&gt;0,N121/AI121,""),"")</f>
        <v/>
      </c>
      <c r="AK121" s="12" t="str">
        <f aca="false" t="array" ref="AK121:AK121">IF(D121="","",IFERROR(MEDIAN(IF(($D$2:$D$401=D121)*ISNUMBER($R$2:$R$401),$R$2:$R$401)),""))</f>
        <v/>
      </c>
      <c r="AL121" s="17" t="str">
        <f aca="false">IF(ISNUMBER(AJ121),IF(AND(AJ121&gt;=Resumen!$C$5,OR(NOT(ISNUMBER(R121)),NOT(ISNUMBER(AK121)),R121&gt;=AK121)),"Ganador",IF(AJ121&lt;=Resumen!$C$6,"Perdedor","Normal")),IF(ISNUMBER(AH121),IF(AH121&gt;=Resumen!$C$5,"Ganador (7 d, provisional)",IF(AH121&lt;=Resumen!$C$6,"Perdedor (7 d, provisional)","Normal (7 d, provisional)")),""))</f>
        <v/>
      </c>
      <c r="AM121" s="18" t="str">
        <f aca="false">IF(AND(ISNUMBER(Z121),ISNUMBER(N121)),IF(N121&gt;0,Z121/N121*1000,""),"")</f>
        <v/>
      </c>
      <c r="AN121" s="19" t="str">
        <f aca="false">IF(AND(ISNUMBER(U121),ISNUMBER(N121)),IF(N121&gt;0,U121/N121*1000,""),"")</f>
        <v/>
      </c>
    </row>
    <row r="122" customFormat="false" ht="15" hidden="false" customHeight="false" outlineLevel="0" collapsed="false">
      <c r="A122" s="7"/>
      <c r="B122" s="7"/>
      <c r="C122" s="8"/>
      <c r="D122" s="7"/>
      <c r="E122" s="7"/>
      <c r="F122" s="7"/>
      <c r="G122" s="7"/>
      <c r="H122" s="7"/>
      <c r="I122" s="7"/>
      <c r="J122" s="7"/>
      <c r="K122" s="9"/>
      <c r="L122" s="10"/>
      <c r="M122" s="10"/>
      <c r="N122" s="10"/>
      <c r="O122" s="10"/>
      <c r="P122" s="11"/>
      <c r="Q122" s="9"/>
      <c r="R122" s="12" t="str">
        <f aca="false">IF(AND(ISNUMBER(K122),ISNUMBER(Q122),K122&gt;0),Q122/K122,"")</f>
        <v/>
      </c>
      <c r="S122" s="11"/>
      <c r="T122" s="9"/>
      <c r="U122" s="10"/>
      <c r="V122" s="11"/>
      <c r="W122" s="11"/>
      <c r="X122" s="11"/>
      <c r="Y122" s="12" t="str">
        <f aca="false">IF(COUNT(V122:X122)=0,"",MAX(0,1-SUM(V122:X122)))</f>
        <v/>
      </c>
      <c r="Z122" s="13"/>
      <c r="AA122" s="9"/>
      <c r="AB122" s="7"/>
      <c r="AC122" s="7"/>
      <c r="AD122" s="7"/>
      <c r="AE122" s="7"/>
      <c r="AF122" s="14" t="str">
        <f aca="false">IF(D122="","",COUNTIF($D$2:D122,D122))</f>
        <v/>
      </c>
      <c r="AG122" s="15" t="str">
        <f aca="false" t="array" ref="AG122:AG122">IF(D122="","",IFERROR(MEDIAN(IF(($D$2:$D$401=D122)*($AF$2:$AF$401&gt;=AF122-5)*($AF$2:$AF$401&lt;=AF122-1)*($M$2:$M$401&lt;&gt;""),$M$2:$M$401)),""))</f>
        <v/>
      </c>
      <c r="AH122" s="16" t="str">
        <f aca="false">IF(AND(ISNUMBER(M122),ISNUMBER(AG122)),IF(AG122&gt;0,M122/AG122,""),"")</f>
        <v/>
      </c>
      <c r="AI122" s="15" t="str">
        <f aca="false" t="array" ref="AI122:AI122">IF(D122="","",IFERROR(MEDIAN(IF(($D$2:$D$401=D122)*($AF$2:$AF$401&gt;=AF122-5)*($AF$2:$AF$401&lt;=AF122-1)*($N$2:$N$401&lt;&gt;""),$N$2:$N$401)),""))</f>
        <v/>
      </c>
      <c r="AJ122" s="16" t="str">
        <f aca="false">IF(AND(ISNUMBER(N122),ISNUMBER(AI122)),IF(AI122&gt;0,N122/AI122,""),"")</f>
        <v/>
      </c>
      <c r="AK122" s="12" t="str">
        <f aca="false" t="array" ref="AK122:AK122">IF(D122="","",IFERROR(MEDIAN(IF(($D$2:$D$401=D122)*ISNUMBER($R$2:$R$401),$R$2:$R$401)),""))</f>
        <v/>
      </c>
      <c r="AL122" s="17" t="str">
        <f aca="false">IF(ISNUMBER(AJ122),IF(AND(AJ122&gt;=Resumen!$C$5,OR(NOT(ISNUMBER(R122)),NOT(ISNUMBER(AK122)),R122&gt;=AK122)),"Ganador",IF(AJ122&lt;=Resumen!$C$6,"Perdedor","Normal")),IF(ISNUMBER(AH122),IF(AH122&gt;=Resumen!$C$5,"Ganador (7 d, provisional)",IF(AH122&lt;=Resumen!$C$6,"Perdedor (7 d, provisional)","Normal (7 d, provisional)")),""))</f>
        <v/>
      </c>
      <c r="AM122" s="18" t="str">
        <f aca="false">IF(AND(ISNUMBER(Z122),ISNUMBER(N122)),IF(N122&gt;0,Z122/N122*1000,""),"")</f>
        <v/>
      </c>
      <c r="AN122" s="19" t="str">
        <f aca="false">IF(AND(ISNUMBER(U122),ISNUMBER(N122)),IF(N122&gt;0,U122/N122*1000,""),"")</f>
        <v/>
      </c>
    </row>
    <row r="123" customFormat="false" ht="15" hidden="false" customHeight="false" outlineLevel="0" collapsed="false">
      <c r="A123" s="7"/>
      <c r="B123" s="7"/>
      <c r="C123" s="8"/>
      <c r="D123" s="7"/>
      <c r="E123" s="7"/>
      <c r="F123" s="7"/>
      <c r="G123" s="7"/>
      <c r="H123" s="7"/>
      <c r="I123" s="7"/>
      <c r="J123" s="7"/>
      <c r="K123" s="9"/>
      <c r="L123" s="10"/>
      <c r="M123" s="10"/>
      <c r="N123" s="10"/>
      <c r="O123" s="10"/>
      <c r="P123" s="11"/>
      <c r="Q123" s="9"/>
      <c r="R123" s="12" t="str">
        <f aca="false">IF(AND(ISNUMBER(K123),ISNUMBER(Q123),K123&gt;0),Q123/K123,"")</f>
        <v/>
      </c>
      <c r="S123" s="11"/>
      <c r="T123" s="9"/>
      <c r="U123" s="10"/>
      <c r="V123" s="11"/>
      <c r="W123" s="11"/>
      <c r="X123" s="11"/>
      <c r="Y123" s="12" t="str">
        <f aca="false">IF(COUNT(V123:X123)=0,"",MAX(0,1-SUM(V123:X123)))</f>
        <v/>
      </c>
      <c r="Z123" s="13"/>
      <c r="AA123" s="9"/>
      <c r="AB123" s="7"/>
      <c r="AC123" s="7"/>
      <c r="AD123" s="7"/>
      <c r="AE123" s="7"/>
      <c r="AF123" s="14" t="str">
        <f aca="false">IF(D123="","",COUNTIF($D$2:D123,D123))</f>
        <v/>
      </c>
      <c r="AG123" s="15" t="str">
        <f aca="false" t="array" ref="AG123:AG123">IF(D123="","",IFERROR(MEDIAN(IF(($D$2:$D$401=D123)*($AF$2:$AF$401&gt;=AF123-5)*($AF$2:$AF$401&lt;=AF123-1)*($M$2:$M$401&lt;&gt;""),$M$2:$M$401)),""))</f>
        <v/>
      </c>
      <c r="AH123" s="16" t="str">
        <f aca="false">IF(AND(ISNUMBER(M123),ISNUMBER(AG123)),IF(AG123&gt;0,M123/AG123,""),"")</f>
        <v/>
      </c>
      <c r="AI123" s="15" t="str">
        <f aca="false" t="array" ref="AI123:AI123">IF(D123="","",IFERROR(MEDIAN(IF(($D$2:$D$401=D123)*($AF$2:$AF$401&gt;=AF123-5)*($AF$2:$AF$401&lt;=AF123-1)*($N$2:$N$401&lt;&gt;""),$N$2:$N$401)),""))</f>
        <v/>
      </c>
      <c r="AJ123" s="16" t="str">
        <f aca="false">IF(AND(ISNUMBER(N123),ISNUMBER(AI123)),IF(AI123&gt;0,N123/AI123,""),"")</f>
        <v/>
      </c>
      <c r="AK123" s="12" t="str">
        <f aca="false" t="array" ref="AK123:AK123">IF(D123="","",IFERROR(MEDIAN(IF(($D$2:$D$401=D123)*ISNUMBER($R$2:$R$401),$R$2:$R$401)),""))</f>
        <v/>
      </c>
      <c r="AL123" s="17" t="str">
        <f aca="false">IF(ISNUMBER(AJ123),IF(AND(AJ123&gt;=Resumen!$C$5,OR(NOT(ISNUMBER(R123)),NOT(ISNUMBER(AK123)),R123&gt;=AK123)),"Ganador",IF(AJ123&lt;=Resumen!$C$6,"Perdedor","Normal")),IF(ISNUMBER(AH123),IF(AH123&gt;=Resumen!$C$5,"Ganador (7 d, provisional)",IF(AH123&lt;=Resumen!$C$6,"Perdedor (7 d, provisional)","Normal (7 d, provisional)")),""))</f>
        <v/>
      </c>
      <c r="AM123" s="18" t="str">
        <f aca="false">IF(AND(ISNUMBER(Z123),ISNUMBER(N123)),IF(N123&gt;0,Z123/N123*1000,""),"")</f>
        <v/>
      </c>
      <c r="AN123" s="19" t="str">
        <f aca="false">IF(AND(ISNUMBER(U123),ISNUMBER(N123)),IF(N123&gt;0,U123/N123*1000,""),"")</f>
        <v/>
      </c>
    </row>
    <row r="124" customFormat="false" ht="15" hidden="false" customHeight="false" outlineLevel="0" collapsed="false">
      <c r="A124" s="7"/>
      <c r="B124" s="7"/>
      <c r="C124" s="8"/>
      <c r="D124" s="7"/>
      <c r="E124" s="7"/>
      <c r="F124" s="7"/>
      <c r="G124" s="7"/>
      <c r="H124" s="7"/>
      <c r="I124" s="7"/>
      <c r="J124" s="7"/>
      <c r="K124" s="9"/>
      <c r="L124" s="10"/>
      <c r="M124" s="10"/>
      <c r="N124" s="10"/>
      <c r="O124" s="10"/>
      <c r="P124" s="11"/>
      <c r="Q124" s="9"/>
      <c r="R124" s="12" t="str">
        <f aca="false">IF(AND(ISNUMBER(K124),ISNUMBER(Q124),K124&gt;0),Q124/K124,"")</f>
        <v/>
      </c>
      <c r="S124" s="11"/>
      <c r="T124" s="9"/>
      <c r="U124" s="10"/>
      <c r="V124" s="11"/>
      <c r="W124" s="11"/>
      <c r="X124" s="11"/>
      <c r="Y124" s="12" t="str">
        <f aca="false">IF(COUNT(V124:X124)=0,"",MAX(0,1-SUM(V124:X124)))</f>
        <v/>
      </c>
      <c r="Z124" s="13"/>
      <c r="AA124" s="9"/>
      <c r="AB124" s="7"/>
      <c r="AC124" s="7"/>
      <c r="AD124" s="7"/>
      <c r="AE124" s="7"/>
      <c r="AF124" s="14" t="str">
        <f aca="false">IF(D124="","",COUNTIF($D$2:D124,D124))</f>
        <v/>
      </c>
      <c r="AG124" s="15" t="str">
        <f aca="false" t="array" ref="AG124:AG124">IF(D124="","",IFERROR(MEDIAN(IF(($D$2:$D$401=D124)*($AF$2:$AF$401&gt;=AF124-5)*($AF$2:$AF$401&lt;=AF124-1)*($M$2:$M$401&lt;&gt;""),$M$2:$M$401)),""))</f>
        <v/>
      </c>
      <c r="AH124" s="16" t="str">
        <f aca="false">IF(AND(ISNUMBER(M124),ISNUMBER(AG124)),IF(AG124&gt;0,M124/AG124,""),"")</f>
        <v/>
      </c>
      <c r="AI124" s="15" t="str">
        <f aca="false" t="array" ref="AI124:AI124">IF(D124="","",IFERROR(MEDIAN(IF(($D$2:$D$401=D124)*($AF$2:$AF$401&gt;=AF124-5)*($AF$2:$AF$401&lt;=AF124-1)*($N$2:$N$401&lt;&gt;""),$N$2:$N$401)),""))</f>
        <v/>
      </c>
      <c r="AJ124" s="16" t="str">
        <f aca="false">IF(AND(ISNUMBER(N124),ISNUMBER(AI124)),IF(AI124&gt;0,N124/AI124,""),"")</f>
        <v/>
      </c>
      <c r="AK124" s="12" t="str">
        <f aca="false" t="array" ref="AK124:AK124">IF(D124="","",IFERROR(MEDIAN(IF(($D$2:$D$401=D124)*ISNUMBER($R$2:$R$401),$R$2:$R$401)),""))</f>
        <v/>
      </c>
      <c r="AL124" s="17" t="str">
        <f aca="false">IF(ISNUMBER(AJ124),IF(AND(AJ124&gt;=Resumen!$C$5,OR(NOT(ISNUMBER(R124)),NOT(ISNUMBER(AK124)),R124&gt;=AK124)),"Ganador",IF(AJ124&lt;=Resumen!$C$6,"Perdedor","Normal")),IF(ISNUMBER(AH124),IF(AH124&gt;=Resumen!$C$5,"Ganador (7 d, provisional)",IF(AH124&lt;=Resumen!$C$6,"Perdedor (7 d, provisional)","Normal (7 d, provisional)")),""))</f>
        <v/>
      </c>
      <c r="AM124" s="18" t="str">
        <f aca="false">IF(AND(ISNUMBER(Z124),ISNUMBER(N124)),IF(N124&gt;0,Z124/N124*1000,""),"")</f>
        <v/>
      </c>
      <c r="AN124" s="19" t="str">
        <f aca="false">IF(AND(ISNUMBER(U124),ISNUMBER(N124)),IF(N124&gt;0,U124/N124*1000,""),"")</f>
        <v/>
      </c>
    </row>
    <row r="125" customFormat="false" ht="15" hidden="false" customHeight="false" outlineLevel="0" collapsed="false">
      <c r="A125" s="7"/>
      <c r="B125" s="7"/>
      <c r="C125" s="8"/>
      <c r="D125" s="7"/>
      <c r="E125" s="7"/>
      <c r="F125" s="7"/>
      <c r="G125" s="7"/>
      <c r="H125" s="7"/>
      <c r="I125" s="7"/>
      <c r="J125" s="7"/>
      <c r="K125" s="9"/>
      <c r="L125" s="10"/>
      <c r="M125" s="10"/>
      <c r="N125" s="10"/>
      <c r="O125" s="10"/>
      <c r="P125" s="11"/>
      <c r="Q125" s="9"/>
      <c r="R125" s="12" t="str">
        <f aca="false">IF(AND(ISNUMBER(K125),ISNUMBER(Q125),K125&gt;0),Q125/K125,"")</f>
        <v/>
      </c>
      <c r="S125" s="11"/>
      <c r="T125" s="9"/>
      <c r="U125" s="10"/>
      <c r="V125" s="11"/>
      <c r="W125" s="11"/>
      <c r="X125" s="11"/>
      <c r="Y125" s="12" t="str">
        <f aca="false">IF(COUNT(V125:X125)=0,"",MAX(0,1-SUM(V125:X125)))</f>
        <v/>
      </c>
      <c r="Z125" s="13"/>
      <c r="AA125" s="9"/>
      <c r="AB125" s="7"/>
      <c r="AC125" s="7"/>
      <c r="AD125" s="7"/>
      <c r="AE125" s="7"/>
      <c r="AF125" s="14" t="str">
        <f aca="false">IF(D125="","",COUNTIF($D$2:D125,D125))</f>
        <v/>
      </c>
      <c r="AG125" s="15" t="str">
        <f aca="false" t="array" ref="AG125:AG125">IF(D125="","",IFERROR(MEDIAN(IF(($D$2:$D$401=D125)*($AF$2:$AF$401&gt;=AF125-5)*($AF$2:$AF$401&lt;=AF125-1)*($M$2:$M$401&lt;&gt;""),$M$2:$M$401)),""))</f>
        <v/>
      </c>
      <c r="AH125" s="16" t="str">
        <f aca="false">IF(AND(ISNUMBER(M125),ISNUMBER(AG125)),IF(AG125&gt;0,M125/AG125,""),"")</f>
        <v/>
      </c>
      <c r="AI125" s="15" t="str">
        <f aca="false" t="array" ref="AI125:AI125">IF(D125="","",IFERROR(MEDIAN(IF(($D$2:$D$401=D125)*($AF$2:$AF$401&gt;=AF125-5)*($AF$2:$AF$401&lt;=AF125-1)*($N$2:$N$401&lt;&gt;""),$N$2:$N$401)),""))</f>
        <v/>
      </c>
      <c r="AJ125" s="16" t="str">
        <f aca="false">IF(AND(ISNUMBER(N125),ISNUMBER(AI125)),IF(AI125&gt;0,N125/AI125,""),"")</f>
        <v/>
      </c>
      <c r="AK125" s="12" t="str">
        <f aca="false" t="array" ref="AK125:AK125">IF(D125="","",IFERROR(MEDIAN(IF(($D$2:$D$401=D125)*ISNUMBER($R$2:$R$401),$R$2:$R$401)),""))</f>
        <v/>
      </c>
      <c r="AL125" s="17" t="str">
        <f aca="false">IF(ISNUMBER(AJ125),IF(AND(AJ125&gt;=Resumen!$C$5,OR(NOT(ISNUMBER(R125)),NOT(ISNUMBER(AK125)),R125&gt;=AK125)),"Ganador",IF(AJ125&lt;=Resumen!$C$6,"Perdedor","Normal")),IF(ISNUMBER(AH125),IF(AH125&gt;=Resumen!$C$5,"Ganador (7 d, provisional)",IF(AH125&lt;=Resumen!$C$6,"Perdedor (7 d, provisional)","Normal (7 d, provisional)")),""))</f>
        <v/>
      </c>
      <c r="AM125" s="18" t="str">
        <f aca="false">IF(AND(ISNUMBER(Z125),ISNUMBER(N125)),IF(N125&gt;0,Z125/N125*1000,""),"")</f>
        <v/>
      </c>
      <c r="AN125" s="19" t="str">
        <f aca="false">IF(AND(ISNUMBER(U125),ISNUMBER(N125)),IF(N125&gt;0,U125/N125*1000,""),"")</f>
        <v/>
      </c>
    </row>
    <row r="126" customFormat="false" ht="15" hidden="false" customHeight="false" outlineLevel="0" collapsed="false">
      <c r="A126" s="7"/>
      <c r="B126" s="7"/>
      <c r="C126" s="8"/>
      <c r="D126" s="7"/>
      <c r="E126" s="7"/>
      <c r="F126" s="7"/>
      <c r="G126" s="7"/>
      <c r="H126" s="7"/>
      <c r="I126" s="7"/>
      <c r="J126" s="7"/>
      <c r="K126" s="9"/>
      <c r="L126" s="10"/>
      <c r="M126" s="10"/>
      <c r="N126" s="10"/>
      <c r="O126" s="10"/>
      <c r="P126" s="11"/>
      <c r="Q126" s="9"/>
      <c r="R126" s="12" t="str">
        <f aca="false">IF(AND(ISNUMBER(K126),ISNUMBER(Q126),K126&gt;0),Q126/K126,"")</f>
        <v/>
      </c>
      <c r="S126" s="11"/>
      <c r="T126" s="9"/>
      <c r="U126" s="10"/>
      <c r="V126" s="11"/>
      <c r="W126" s="11"/>
      <c r="X126" s="11"/>
      <c r="Y126" s="12" t="str">
        <f aca="false">IF(COUNT(V126:X126)=0,"",MAX(0,1-SUM(V126:X126)))</f>
        <v/>
      </c>
      <c r="Z126" s="13"/>
      <c r="AA126" s="9"/>
      <c r="AB126" s="7"/>
      <c r="AC126" s="7"/>
      <c r="AD126" s="7"/>
      <c r="AE126" s="7"/>
      <c r="AF126" s="14" t="str">
        <f aca="false">IF(D126="","",COUNTIF($D$2:D126,D126))</f>
        <v/>
      </c>
      <c r="AG126" s="15" t="str">
        <f aca="false" t="array" ref="AG126:AG126">IF(D126="","",IFERROR(MEDIAN(IF(($D$2:$D$401=D126)*($AF$2:$AF$401&gt;=AF126-5)*($AF$2:$AF$401&lt;=AF126-1)*($M$2:$M$401&lt;&gt;""),$M$2:$M$401)),""))</f>
        <v/>
      </c>
      <c r="AH126" s="16" t="str">
        <f aca="false">IF(AND(ISNUMBER(M126),ISNUMBER(AG126)),IF(AG126&gt;0,M126/AG126,""),"")</f>
        <v/>
      </c>
      <c r="AI126" s="15" t="str">
        <f aca="false" t="array" ref="AI126:AI126">IF(D126="","",IFERROR(MEDIAN(IF(($D$2:$D$401=D126)*($AF$2:$AF$401&gt;=AF126-5)*($AF$2:$AF$401&lt;=AF126-1)*($N$2:$N$401&lt;&gt;""),$N$2:$N$401)),""))</f>
        <v/>
      </c>
      <c r="AJ126" s="16" t="str">
        <f aca="false">IF(AND(ISNUMBER(N126),ISNUMBER(AI126)),IF(AI126&gt;0,N126/AI126,""),"")</f>
        <v/>
      </c>
      <c r="AK126" s="12" t="str">
        <f aca="false" t="array" ref="AK126:AK126">IF(D126="","",IFERROR(MEDIAN(IF(($D$2:$D$401=D126)*ISNUMBER($R$2:$R$401),$R$2:$R$401)),""))</f>
        <v/>
      </c>
      <c r="AL126" s="17" t="str">
        <f aca="false">IF(ISNUMBER(AJ126),IF(AND(AJ126&gt;=Resumen!$C$5,OR(NOT(ISNUMBER(R126)),NOT(ISNUMBER(AK126)),R126&gt;=AK126)),"Ganador",IF(AJ126&lt;=Resumen!$C$6,"Perdedor","Normal")),IF(ISNUMBER(AH126),IF(AH126&gt;=Resumen!$C$5,"Ganador (7 d, provisional)",IF(AH126&lt;=Resumen!$C$6,"Perdedor (7 d, provisional)","Normal (7 d, provisional)")),""))</f>
        <v/>
      </c>
      <c r="AM126" s="18" t="str">
        <f aca="false">IF(AND(ISNUMBER(Z126),ISNUMBER(N126)),IF(N126&gt;0,Z126/N126*1000,""),"")</f>
        <v/>
      </c>
      <c r="AN126" s="19" t="str">
        <f aca="false">IF(AND(ISNUMBER(U126),ISNUMBER(N126)),IF(N126&gt;0,U126/N126*1000,""),"")</f>
        <v/>
      </c>
    </row>
    <row r="127" customFormat="false" ht="15" hidden="false" customHeight="false" outlineLevel="0" collapsed="false">
      <c r="A127" s="7"/>
      <c r="B127" s="7"/>
      <c r="C127" s="8"/>
      <c r="D127" s="7"/>
      <c r="E127" s="7"/>
      <c r="F127" s="7"/>
      <c r="G127" s="7"/>
      <c r="H127" s="7"/>
      <c r="I127" s="7"/>
      <c r="J127" s="7"/>
      <c r="K127" s="9"/>
      <c r="L127" s="10"/>
      <c r="M127" s="10"/>
      <c r="N127" s="10"/>
      <c r="O127" s="10"/>
      <c r="P127" s="11"/>
      <c r="Q127" s="9"/>
      <c r="R127" s="12" t="str">
        <f aca="false">IF(AND(ISNUMBER(K127),ISNUMBER(Q127),K127&gt;0),Q127/K127,"")</f>
        <v/>
      </c>
      <c r="S127" s="11"/>
      <c r="T127" s="9"/>
      <c r="U127" s="10"/>
      <c r="V127" s="11"/>
      <c r="W127" s="11"/>
      <c r="X127" s="11"/>
      <c r="Y127" s="12" t="str">
        <f aca="false">IF(COUNT(V127:X127)=0,"",MAX(0,1-SUM(V127:X127)))</f>
        <v/>
      </c>
      <c r="Z127" s="13"/>
      <c r="AA127" s="9"/>
      <c r="AB127" s="7"/>
      <c r="AC127" s="7"/>
      <c r="AD127" s="7"/>
      <c r="AE127" s="7"/>
      <c r="AF127" s="14" t="str">
        <f aca="false">IF(D127="","",COUNTIF($D$2:D127,D127))</f>
        <v/>
      </c>
      <c r="AG127" s="15" t="str">
        <f aca="false" t="array" ref="AG127:AG127">IF(D127="","",IFERROR(MEDIAN(IF(($D$2:$D$401=D127)*($AF$2:$AF$401&gt;=AF127-5)*($AF$2:$AF$401&lt;=AF127-1)*($M$2:$M$401&lt;&gt;""),$M$2:$M$401)),""))</f>
        <v/>
      </c>
      <c r="AH127" s="16" t="str">
        <f aca="false">IF(AND(ISNUMBER(M127),ISNUMBER(AG127)),IF(AG127&gt;0,M127/AG127,""),"")</f>
        <v/>
      </c>
      <c r="AI127" s="15" t="str">
        <f aca="false" t="array" ref="AI127:AI127">IF(D127="","",IFERROR(MEDIAN(IF(($D$2:$D$401=D127)*($AF$2:$AF$401&gt;=AF127-5)*($AF$2:$AF$401&lt;=AF127-1)*($N$2:$N$401&lt;&gt;""),$N$2:$N$401)),""))</f>
        <v/>
      </c>
      <c r="AJ127" s="16" t="str">
        <f aca="false">IF(AND(ISNUMBER(N127),ISNUMBER(AI127)),IF(AI127&gt;0,N127/AI127,""),"")</f>
        <v/>
      </c>
      <c r="AK127" s="12" t="str">
        <f aca="false" t="array" ref="AK127:AK127">IF(D127="","",IFERROR(MEDIAN(IF(($D$2:$D$401=D127)*ISNUMBER($R$2:$R$401),$R$2:$R$401)),""))</f>
        <v/>
      </c>
      <c r="AL127" s="17" t="str">
        <f aca="false">IF(ISNUMBER(AJ127),IF(AND(AJ127&gt;=Resumen!$C$5,OR(NOT(ISNUMBER(R127)),NOT(ISNUMBER(AK127)),R127&gt;=AK127)),"Ganador",IF(AJ127&lt;=Resumen!$C$6,"Perdedor","Normal")),IF(ISNUMBER(AH127),IF(AH127&gt;=Resumen!$C$5,"Ganador (7 d, provisional)",IF(AH127&lt;=Resumen!$C$6,"Perdedor (7 d, provisional)","Normal (7 d, provisional)")),""))</f>
        <v/>
      </c>
      <c r="AM127" s="18" t="str">
        <f aca="false">IF(AND(ISNUMBER(Z127),ISNUMBER(N127)),IF(N127&gt;0,Z127/N127*1000,""),"")</f>
        <v/>
      </c>
      <c r="AN127" s="19" t="str">
        <f aca="false">IF(AND(ISNUMBER(U127),ISNUMBER(N127)),IF(N127&gt;0,U127/N127*1000,""),"")</f>
        <v/>
      </c>
    </row>
    <row r="128" customFormat="false" ht="15" hidden="false" customHeight="false" outlineLevel="0" collapsed="false">
      <c r="A128" s="7"/>
      <c r="B128" s="7"/>
      <c r="C128" s="8"/>
      <c r="D128" s="7"/>
      <c r="E128" s="7"/>
      <c r="F128" s="7"/>
      <c r="G128" s="7"/>
      <c r="H128" s="7"/>
      <c r="I128" s="7"/>
      <c r="J128" s="7"/>
      <c r="K128" s="9"/>
      <c r="L128" s="10"/>
      <c r="M128" s="10"/>
      <c r="N128" s="10"/>
      <c r="O128" s="10"/>
      <c r="P128" s="11"/>
      <c r="Q128" s="9"/>
      <c r="R128" s="12" t="str">
        <f aca="false">IF(AND(ISNUMBER(K128),ISNUMBER(Q128),K128&gt;0),Q128/K128,"")</f>
        <v/>
      </c>
      <c r="S128" s="11"/>
      <c r="T128" s="9"/>
      <c r="U128" s="10"/>
      <c r="V128" s="11"/>
      <c r="W128" s="11"/>
      <c r="X128" s="11"/>
      <c r="Y128" s="12" t="str">
        <f aca="false">IF(COUNT(V128:X128)=0,"",MAX(0,1-SUM(V128:X128)))</f>
        <v/>
      </c>
      <c r="Z128" s="13"/>
      <c r="AA128" s="9"/>
      <c r="AB128" s="7"/>
      <c r="AC128" s="7"/>
      <c r="AD128" s="7"/>
      <c r="AE128" s="7"/>
      <c r="AF128" s="14" t="str">
        <f aca="false">IF(D128="","",COUNTIF($D$2:D128,D128))</f>
        <v/>
      </c>
      <c r="AG128" s="15" t="str">
        <f aca="false" t="array" ref="AG128:AG128">IF(D128="","",IFERROR(MEDIAN(IF(($D$2:$D$401=D128)*($AF$2:$AF$401&gt;=AF128-5)*($AF$2:$AF$401&lt;=AF128-1)*($M$2:$M$401&lt;&gt;""),$M$2:$M$401)),""))</f>
        <v/>
      </c>
      <c r="AH128" s="16" t="str">
        <f aca="false">IF(AND(ISNUMBER(M128),ISNUMBER(AG128)),IF(AG128&gt;0,M128/AG128,""),"")</f>
        <v/>
      </c>
      <c r="AI128" s="15" t="str">
        <f aca="false" t="array" ref="AI128:AI128">IF(D128="","",IFERROR(MEDIAN(IF(($D$2:$D$401=D128)*($AF$2:$AF$401&gt;=AF128-5)*($AF$2:$AF$401&lt;=AF128-1)*($N$2:$N$401&lt;&gt;""),$N$2:$N$401)),""))</f>
        <v/>
      </c>
      <c r="AJ128" s="16" t="str">
        <f aca="false">IF(AND(ISNUMBER(N128),ISNUMBER(AI128)),IF(AI128&gt;0,N128/AI128,""),"")</f>
        <v/>
      </c>
      <c r="AK128" s="12" t="str">
        <f aca="false" t="array" ref="AK128:AK128">IF(D128="","",IFERROR(MEDIAN(IF(($D$2:$D$401=D128)*ISNUMBER($R$2:$R$401),$R$2:$R$401)),""))</f>
        <v/>
      </c>
      <c r="AL128" s="17" t="str">
        <f aca="false">IF(ISNUMBER(AJ128),IF(AND(AJ128&gt;=Resumen!$C$5,OR(NOT(ISNUMBER(R128)),NOT(ISNUMBER(AK128)),R128&gt;=AK128)),"Ganador",IF(AJ128&lt;=Resumen!$C$6,"Perdedor","Normal")),IF(ISNUMBER(AH128),IF(AH128&gt;=Resumen!$C$5,"Ganador (7 d, provisional)",IF(AH128&lt;=Resumen!$C$6,"Perdedor (7 d, provisional)","Normal (7 d, provisional)")),""))</f>
        <v/>
      </c>
      <c r="AM128" s="18" t="str">
        <f aca="false">IF(AND(ISNUMBER(Z128),ISNUMBER(N128)),IF(N128&gt;0,Z128/N128*1000,""),"")</f>
        <v/>
      </c>
      <c r="AN128" s="19" t="str">
        <f aca="false">IF(AND(ISNUMBER(U128),ISNUMBER(N128)),IF(N128&gt;0,U128/N128*1000,""),"")</f>
        <v/>
      </c>
    </row>
    <row r="129" customFormat="false" ht="15" hidden="false" customHeight="false" outlineLevel="0" collapsed="false">
      <c r="A129" s="7"/>
      <c r="B129" s="7"/>
      <c r="C129" s="8"/>
      <c r="D129" s="7"/>
      <c r="E129" s="7"/>
      <c r="F129" s="7"/>
      <c r="G129" s="7"/>
      <c r="H129" s="7"/>
      <c r="I129" s="7"/>
      <c r="J129" s="7"/>
      <c r="K129" s="9"/>
      <c r="L129" s="10"/>
      <c r="M129" s="10"/>
      <c r="N129" s="10"/>
      <c r="O129" s="10"/>
      <c r="P129" s="11"/>
      <c r="Q129" s="9"/>
      <c r="R129" s="12" t="str">
        <f aca="false">IF(AND(ISNUMBER(K129),ISNUMBER(Q129),K129&gt;0),Q129/K129,"")</f>
        <v/>
      </c>
      <c r="S129" s="11"/>
      <c r="T129" s="9"/>
      <c r="U129" s="10"/>
      <c r="V129" s="11"/>
      <c r="W129" s="11"/>
      <c r="X129" s="11"/>
      <c r="Y129" s="12" t="str">
        <f aca="false">IF(COUNT(V129:X129)=0,"",MAX(0,1-SUM(V129:X129)))</f>
        <v/>
      </c>
      <c r="Z129" s="13"/>
      <c r="AA129" s="9"/>
      <c r="AB129" s="7"/>
      <c r="AC129" s="7"/>
      <c r="AD129" s="7"/>
      <c r="AE129" s="7"/>
      <c r="AF129" s="14" t="str">
        <f aca="false">IF(D129="","",COUNTIF($D$2:D129,D129))</f>
        <v/>
      </c>
      <c r="AG129" s="15" t="str">
        <f aca="false" t="array" ref="AG129:AG129">IF(D129="","",IFERROR(MEDIAN(IF(($D$2:$D$401=D129)*($AF$2:$AF$401&gt;=AF129-5)*($AF$2:$AF$401&lt;=AF129-1)*($M$2:$M$401&lt;&gt;""),$M$2:$M$401)),""))</f>
        <v/>
      </c>
      <c r="AH129" s="16" t="str">
        <f aca="false">IF(AND(ISNUMBER(M129),ISNUMBER(AG129)),IF(AG129&gt;0,M129/AG129,""),"")</f>
        <v/>
      </c>
      <c r="AI129" s="15" t="str">
        <f aca="false" t="array" ref="AI129:AI129">IF(D129="","",IFERROR(MEDIAN(IF(($D$2:$D$401=D129)*($AF$2:$AF$401&gt;=AF129-5)*($AF$2:$AF$401&lt;=AF129-1)*($N$2:$N$401&lt;&gt;""),$N$2:$N$401)),""))</f>
        <v/>
      </c>
      <c r="AJ129" s="16" t="str">
        <f aca="false">IF(AND(ISNUMBER(N129),ISNUMBER(AI129)),IF(AI129&gt;0,N129/AI129,""),"")</f>
        <v/>
      </c>
      <c r="AK129" s="12" t="str">
        <f aca="false" t="array" ref="AK129:AK129">IF(D129="","",IFERROR(MEDIAN(IF(($D$2:$D$401=D129)*ISNUMBER($R$2:$R$401),$R$2:$R$401)),""))</f>
        <v/>
      </c>
      <c r="AL129" s="17" t="str">
        <f aca="false">IF(ISNUMBER(AJ129),IF(AND(AJ129&gt;=Resumen!$C$5,OR(NOT(ISNUMBER(R129)),NOT(ISNUMBER(AK129)),R129&gt;=AK129)),"Ganador",IF(AJ129&lt;=Resumen!$C$6,"Perdedor","Normal")),IF(ISNUMBER(AH129),IF(AH129&gt;=Resumen!$C$5,"Ganador (7 d, provisional)",IF(AH129&lt;=Resumen!$C$6,"Perdedor (7 d, provisional)","Normal (7 d, provisional)")),""))</f>
        <v/>
      </c>
      <c r="AM129" s="18" t="str">
        <f aca="false">IF(AND(ISNUMBER(Z129),ISNUMBER(N129)),IF(N129&gt;0,Z129/N129*1000,""),"")</f>
        <v/>
      </c>
      <c r="AN129" s="19" t="str">
        <f aca="false">IF(AND(ISNUMBER(U129),ISNUMBER(N129)),IF(N129&gt;0,U129/N129*1000,""),"")</f>
        <v/>
      </c>
    </row>
    <row r="130" customFormat="false" ht="15" hidden="false" customHeight="false" outlineLevel="0" collapsed="false">
      <c r="A130" s="7"/>
      <c r="B130" s="7"/>
      <c r="C130" s="8"/>
      <c r="D130" s="7"/>
      <c r="E130" s="7"/>
      <c r="F130" s="7"/>
      <c r="G130" s="7"/>
      <c r="H130" s="7"/>
      <c r="I130" s="7"/>
      <c r="J130" s="7"/>
      <c r="K130" s="9"/>
      <c r="L130" s="10"/>
      <c r="M130" s="10"/>
      <c r="N130" s="10"/>
      <c r="O130" s="10"/>
      <c r="P130" s="11"/>
      <c r="Q130" s="9"/>
      <c r="R130" s="12" t="str">
        <f aca="false">IF(AND(ISNUMBER(K130),ISNUMBER(Q130),K130&gt;0),Q130/K130,"")</f>
        <v/>
      </c>
      <c r="S130" s="11"/>
      <c r="T130" s="9"/>
      <c r="U130" s="10"/>
      <c r="V130" s="11"/>
      <c r="W130" s="11"/>
      <c r="X130" s="11"/>
      <c r="Y130" s="12" t="str">
        <f aca="false">IF(COUNT(V130:X130)=0,"",MAX(0,1-SUM(V130:X130)))</f>
        <v/>
      </c>
      <c r="Z130" s="13"/>
      <c r="AA130" s="9"/>
      <c r="AB130" s="7"/>
      <c r="AC130" s="7"/>
      <c r="AD130" s="7"/>
      <c r="AE130" s="7"/>
      <c r="AF130" s="14" t="str">
        <f aca="false">IF(D130="","",COUNTIF($D$2:D130,D130))</f>
        <v/>
      </c>
      <c r="AG130" s="15" t="str">
        <f aca="false" t="array" ref="AG130:AG130">IF(D130="","",IFERROR(MEDIAN(IF(($D$2:$D$401=D130)*($AF$2:$AF$401&gt;=AF130-5)*($AF$2:$AF$401&lt;=AF130-1)*($M$2:$M$401&lt;&gt;""),$M$2:$M$401)),""))</f>
        <v/>
      </c>
      <c r="AH130" s="16" t="str">
        <f aca="false">IF(AND(ISNUMBER(M130),ISNUMBER(AG130)),IF(AG130&gt;0,M130/AG130,""),"")</f>
        <v/>
      </c>
      <c r="AI130" s="15" t="str">
        <f aca="false" t="array" ref="AI130:AI130">IF(D130="","",IFERROR(MEDIAN(IF(($D$2:$D$401=D130)*($AF$2:$AF$401&gt;=AF130-5)*($AF$2:$AF$401&lt;=AF130-1)*($N$2:$N$401&lt;&gt;""),$N$2:$N$401)),""))</f>
        <v/>
      </c>
      <c r="AJ130" s="16" t="str">
        <f aca="false">IF(AND(ISNUMBER(N130),ISNUMBER(AI130)),IF(AI130&gt;0,N130/AI130,""),"")</f>
        <v/>
      </c>
      <c r="AK130" s="12" t="str">
        <f aca="false" t="array" ref="AK130:AK130">IF(D130="","",IFERROR(MEDIAN(IF(($D$2:$D$401=D130)*ISNUMBER($R$2:$R$401),$R$2:$R$401)),""))</f>
        <v/>
      </c>
      <c r="AL130" s="17" t="str">
        <f aca="false">IF(ISNUMBER(AJ130),IF(AND(AJ130&gt;=Resumen!$C$5,OR(NOT(ISNUMBER(R130)),NOT(ISNUMBER(AK130)),R130&gt;=AK130)),"Ganador",IF(AJ130&lt;=Resumen!$C$6,"Perdedor","Normal")),IF(ISNUMBER(AH130),IF(AH130&gt;=Resumen!$C$5,"Ganador (7 d, provisional)",IF(AH130&lt;=Resumen!$C$6,"Perdedor (7 d, provisional)","Normal (7 d, provisional)")),""))</f>
        <v/>
      </c>
      <c r="AM130" s="18" t="str">
        <f aca="false">IF(AND(ISNUMBER(Z130),ISNUMBER(N130)),IF(N130&gt;0,Z130/N130*1000,""),"")</f>
        <v/>
      </c>
      <c r="AN130" s="19" t="str">
        <f aca="false">IF(AND(ISNUMBER(U130),ISNUMBER(N130)),IF(N130&gt;0,U130/N130*1000,""),"")</f>
        <v/>
      </c>
    </row>
    <row r="131" customFormat="false" ht="15" hidden="false" customHeight="false" outlineLevel="0" collapsed="false">
      <c r="A131" s="7"/>
      <c r="B131" s="7"/>
      <c r="C131" s="8"/>
      <c r="D131" s="7"/>
      <c r="E131" s="7"/>
      <c r="F131" s="7"/>
      <c r="G131" s="7"/>
      <c r="H131" s="7"/>
      <c r="I131" s="7"/>
      <c r="J131" s="7"/>
      <c r="K131" s="9"/>
      <c r="L131" s="10"/>
      <c r="M131" s="10"/>
      <c r="N131" s="10"/>
      <c r="O131" s="10"/>
      <c r="P131" s="11"/>
      <c r="Q131" s="9"/>
      <c r="R131" s="12" t="str">
        <f aca="false">IF(AND(ISNUMBER(K131),ISNUMBER(Q131),K131&gt;0),Q131/K131,"")</f>
        <v/>
      </c>
      <c r="S131" s="11"/>
      <c r="T131" s="9"/>
      <c r="U131" s="10"/>
      <c r="V131" s="11"/>
      <c r="W131" s="11"/>
      <c r="X131" s="11"/>
      <c r="Y131" s="12" t="str">
        <f aca="false">IF(COUNT(V131:X131)=0,"",MAX(0,1-SUM(V131:X131)))</f>
        <v/>
      </c>
      <c r="Z131" s="13"/>
      <c r="AA131" s="9"/>
      <c r="AB131" s="7"/>
      <c r="AC131" s="7"/>
      <c r="AD131" s="7"/>
      <c r="AE131" s="7"/>
      <c r="AF131" s="14" t="str">
        <f aca="false">IF(D131="","",COUNTIF($D$2:D131,D131))</f>
        <v/>
      </c>
      <c r="AG131" s="15" t="str">
        <f aca="false" t="array" ref="AG131:AG131">IF(D131="","",IFERROR(MEDIAN(IF(($D$2:$D$401=D131)*($AF$2:$AF$401&gt;=AF131-5)*($AF$2:$AF$401&lt;=AF131-1)*($M$2:$M$401&lt;&gt;""),$M$2:$M$401)),""))</f>
        <v/>
      </c>
      <c r="AH131" s="16" t="str">
        <f aca="false">IF(AND(ISNUMBER(M131),ISNUMBER(AG131)),IF(AG131&gt;0,M131/AG131,""),"")</f>
        <v/>
      </c>
      <c r="AI131" s="15" t="str">
        <f aca="false" t="array" ref="AI131:AI131">IF(D131="","",IFERROR(MEDIAN(IF(($D$2:$D$401=D131)*($AF$2:$AF$401&gt;=AF131-5)*($AF$2:$AF$401&lt;=AF131-1)*($N$2:$N$401&lt;&gt;""),$N$2:$N$401)),""))</f>
        <v/>
      </c>
      <c r="AJ131" s="16" t="str">
        <f aca="false">IF(AND(ISNUMBER(N131),ISNUMBER(AI131)),IF(AI131&gt;0,N131/AI131,""),"")</f>
        <v/>
      </c>
      <c r="AK131" s="12" t="str">
        <f aca="false" t="array" ref="AK131:AK131">IF(D131="","",IFERROR(MEDIAN(IF(($D$2:$D$401=D131)*ISNUMBER($R$2:$R$401),$R$2:$R$401)),""))</f>
        <v/>
      </c>
      <c r="AL131" s="17" t="str">
        <f aca="false">IF(ISNUMBER(AJ131),IF(AND(AJ131&gt;=Resumen!$C$5,OR(NOT(ISNUMBER(R131)),NOT(ISNUMBER(AK131)),R131&gt;=AK131)),"Ganador",IF(AJ131&lt;=Resumen!$C$6,"Perdedor","Normal")),IF(ISNUMBER(AH131),IF(AH131&gt;=Resumen!$C$5,"Ganador (7 d, provisional)",IF(AH131&lt;=Resumen!$C$6,"Perdedor (7 d, provisional)","Normal (7 d, provisional)")),""))</f>
        <v/>
      </c>
      <c r="AM131" s="18" t="str">
        <f aca="false">IF(AND(ISNUMBER(Z131),ISNUMBER(N131)),IF(N131&gt;0,Z131/N131*1000,""),"")</f>
        <v/>
      </c>
      <c r="AN131" s="19" t="str">
        <f aca="false">IF(AND(ISNUMBER(U131),ISNUMBER(N131)),IF(N131&gt;0,U131/N131*1000,""),"")</f>
        <v/>
      </c>
    </row>
    <row r="132" customFormat="false" ht="15" hidden="false" customHeight="false" outlineLevel="0" collapsed="false">
      <c r="A132" s="7"/>
      <c r="B132" s="7"/>
      <c r="C132" s="8"/>
      <c r="D132" s="7"/>
      <c r="E132" s="7"/>
      <c r="F132" s="7"/>
      <c r="G132" s="7"/>
      <c r="H132" s="7"/>
      <c r="I132" s="7"/>
      <c r="J132" s="7"/>
      <c r="K132" s="9"/>
      <c r="L132" s="10"/>
      <c r="M132" s="10"/>
      <c r="N132" s="10"/>
      <c r="O132" s="10"/>
      <c r="P132" s="11"/>
      <c r="Q132" s="9"/>
      <c r="R132" s="12" t="str">
        <f aca="false">IF(AND(ISNUMBER(K132),ISNUMBER(Q132),K132&gt;0),Q132/K132,"")</f>
        <v/>
      </c>
      <c r="S132" s="11"/>
      <c r="T132" s="9"/>
      <c r="U132" s="10"/>
      <c r="V132" s="11"/>
      <c r="W132" s="11"/>
      <c r="X132" s="11"/>
      <c r="Y132" s="12" t="str">
        <f aca="false">IF(COUNT(V132:X132)=0,"",MAX(0,1-SUM(V132:X132)))</f>
        <v/>
      </c>
      <c r="Z132" s="13"/>
      <c r="AA132" s="9"/>
      <c r="AB132" s="7"/>
      <c r="AC132" s="7"/>
      <c r="AD132" s="7"/>
      <c r="AE132" s="7"/>
      <c r="AF132" s="14" t="str">
        <f aca="false">IF(D132="","",COUNTIF($D$2:D132,D132))</f>
        <v/>
      </c>
      <c r="AG132" s="15" t="str">
        <f aca="false" t="array" ref="AG132:AG132">IF(D132="","",IFERROR(MEDIAN(IF(($D$2:$D$401=D132)*($AF$2:$AF$401&gt;=AF132-5)*($AF$2:$AF$401&lt;=AF132-1)*($M$2:$M$401&lt;&gt;""),$M$2:$M$401)),""))</f>
        <v/>
      </c>
      <c r="AH132" s="16" t="str">
        <f aca="false">IF(AND(ISNUMBER(M132),ISNUMBER(AG132)),IF(AG132&gt;0,M132/AG132,""),"")</f>
        <v/>
      </c>
      <c r="AI132" s="15" t="str">
        <f aca="false" t="array" ref="AI132:AI132">IF(D132="","",IFERROR(MEDIAN(IF(($D$2:$D$401=D132)*($AF$2:$AF$401&gt;=AF132-5)*($AF$2:$AF$401&lt;=AF132-1)*($N$2:$N$401&lt;&gt;""),$N$2:$N$401)),""))</f>
        <v/>
      </c>
      <c r="AJ132" s="16" t="str">
        <f aca="false">IF(AND(ISNUMBER(N132),ISNUMBER(AI132)),IF(AI132&gt;0,N132/AI132,""),"")</f>
        <v/>
      </c>
      <c r="AK132" s="12" t="str">
        <f aca="false" t="array" ref="AK132:AK132">IF(D132="","",IFERROR(MEDIAN(IF(($D$2:$D$401=D132)*ISNUMBER($R$2:$R$401),$R$2:$R$401)),""))</f>
        <v/>
      </c>
      <c r="AL132" s="17" t="str">
        <f aca="false">IF(ISNUMBER(AJ132),IF(AND(AJ132&gt;=Resumen!$C$5,OR(NOT(ISNUMBER(R132)),NOT(ISNUMBER(AK132)),R132&gt;=AK132)),"Ganador",IF(AJ132&lt;=Resumen!$C$6,"Perdedor","Normal")),IF(ISNUMBER(AH132),IF(AH132&gt;=Resumen!$C$5,"Ganador (7 d, provisional)",IF(AH132&lt;=Resumen!$C$6,"Perdedor (7 d, provisional)","Normal (7 d, provisional)")),""))</f>
        <v/>
      </c>
      <c r="AM132" s="18" t="str">
        <f aca="false">IF(AND(ISNUMBER(Z132),ISNUMBER(N132)),IF(N132&gt;0,Z132/N132*1000,""),"")</f>
        <v/>
      </c>
      <c r="AN132" s="19" t="str">
        <f aca="false">IF(AND(ISNUMBER(U132),ISNUMBER(N132)),IF(N132&gt;0,U132/N132*1000,""),"")</f>
        <v/>
      </c>
    </row>
    <row r="133" customFormat="false" ht="15" hidden="false" customHeight="false" outlineLevel="0" collapsed="false">
      <c r="A133" s="7"/>
      <c r="B133" s="7"/>
      <c r="C133" s="8"/>
      <c r="D133" s="7"/>
      <c r="E133" s="7"/>
      <c r="F133" s="7"/>
      <c r="G133" s="7"/>
      <c r="H133" s="7"/>
      <c r="I133" s="7"/>
      <c r="J133" s="7"/>
      <c r="K133" s="9"/>
      <c r="L133" s="10"/>
      <c r="M133" s="10"/>
      <c r="N133" s="10"/>
      <c r="O133" s="10"/>
      <c r="P133" s="11"/>
      <c r="Q133" s="9"/>
      <c r="R133" s="12" t="str">
        <f aca="false">IF(AND(ISNUMBER(K133),ISNUMBER(Q133),K133&gt;0),Q133/K133,"")</f>
        <v/>
      </c>
      <c r="S133" s="11"/>
      <c r="T133" s="9"/>
      <c r="U133" s="10"/>
      <c r="V133" s="11"/>
      <c r="W133" s="11"/>
      <c r="X133" s="11"/>
      <c r="Y133" s="12" t="str">
        <f aca="false">IF(COUNT(V133:X133)=0,"",MAX(0,1-SUM(V133:X133)))</f>
        <v/>
      </c>
      <c r="Z133" s="13"/>
      <c r="AA133" s="9"/>
      <c r="AB133" s="7"/>
      <c r="AC133" s="7"/>
      <c r="AD133" s="7"/>
      <c r="AE133" s="7"/>
      <c r="AF133" s="14" t="str">
        <f aca="false">IF(D133="","",COUNTIF($D$2:D133,D133))</f>
        <v/>
      </c>
      <c r="AG133" s="15" t="str">
        <f aca="false" t="array" ref="AG133:AG133">IF(D133="","",IFERROR(MEDIAN(IF(($D$2:$D$401=D133)*($AF$2:$AF$401&gt;=AF133-5)*($AF$2:$AF$401&lt;=AF133-1)*($M$2:$M$401&lt;&gt;""),$M$2:$M$401)),""))</f>
        <v/>
      </c>
      <c r="AH133" s="16" t="str">
        <f aca="false">IF(AND(ISNUMBER(M133),ISNUMBER(AG133)),IF(AG133&gt;0,M133/AG133,""),"")</f>
        <v/>
      </c>
      <c r="AI133" s="15" t="str">
        <f aca="false" t="array" ref="AI133:AI133">IF(D133="","",IFERROR(MEDIAN(IF(($D$2:$D$401=D133)*($AF$2:$AF$401&gt;=AF133-5)*($AF$2:$AF$401&lt;=AF133-1)*($N$2:$N$401&lt;&gt;""),$N$2:$N$401)),""))</f>
        <v/>
      </c>
      <c r="AJ133" s="16" t="str">
        <f aca="false">IF(AND(ISNUMBER(N133),ISNUMBER(AI133)),IF(AI133&gt;0,N133/AI133,""),"")</f>
        <v/>
      </c>
      <c r="AK133" s="12" t="str">
        <f aca="false" t="array" ref="AK133:AK133">IF(D133="","",IFERROR(MEDIAN(IF(($D$2:$D$401=D133)*ISNUMBER($R$2:$R$401),$R$2:$R$401)),""))</f>
        <v/>
      </c>
      <c r="AL133" s="17" t="str">
        <f aca="false">IF(ISNUMBER(AJ133),IF(AND(AJ133&gt;=Resumen!$C$5,OR(NOT(ISNUMBER(R133)),NOT(ISNUMBER(AK133)),R133&gt;=AK133)),"Ganador",IF(AJ133&lt;=Resumen!$C$6,"Perdedor","Normal")),IF(ISNUMBER(AH133),IF(AH133&gt;=Resumen!$C$5,"Ganador (7 d, provisional)",IF(AH133&lt;=Resumen!$C$6,"Perdedor (7 d, provisional)","Normal (7 d, provisional)")),""))</f>
        <v/>
      </c>
      <c r="AM133" s="18" t="str">
        <f aca="false">IF(AND(ISNUMBER(Z133),ISNUMBER(N133)),IF(N133&gt;0,Z133/N133*1000,""),"")</f>
        <v/>
      </c>
      <c r="AN133" s="19" t="str">
        <f aca="false">IF(AND(ISNUMBER(U133),ISNUMBER(N133)),IF(N133&gt;0,U133/N133*1000,""),"")</f>
        <v/>
      </c>
    </row>
    <row r="134" customFormat="false" ht="15" hidden="false" customHeight="false" outlineLevel="0" collapsed="false">
      <c r="A134" s="7"/>
      <c r="B134" s="7"/>
      <c r="C134" s="8"/>
      <c r="D134" s="7"/>
      <c r="E134" s="7"/>
      <c r="F134" s="7"/>
      <c r="G134" s="7"/>
      <c r="H134" s="7"/>
      <c r="I134" s="7"/>
      <c r="J134" s="7"/>
      <c r="K134" s="9"/>
      <c r="L134" s="10"/>
      <c r="M134" s="10"/>
      <c r="N134" s="10"/>
      <c r="O134" s="10"/>
      <c r="P134" s="11"/>
      <c r="Q134" s="9"/>
      <c r="R134" s="12" t="str">
        <f aca="false">IF(AND(ISNUMBER(K134),ISNUMBER(Q134),K134&gt;0),Q134/K134,"")</f>
        <v/>
      </c>
      <c r="S134" s="11"/>
      <c r="T134" s="9"/>
      <c r="U134" s="10"/>
      <c r="V134" s="11"/>
      <c r="W134" s="11"/>
      <c r="X134" s="11"/>
      <c r="Y134" s="12" t="str">
        <f aca="false">IF(COUNT(V134:X134)=0,"",MAX(0,1-SUM(V134:X134)))</f>
        <v/>
      </c>
      <c r="Z134" s="13"/>
      <c r="AA134" s="9"/>
      <c r="AB134" s="7"/>
      <c r="AC134" s="7"/>
      <c r="AD134" s="7"/>
      <c r="AE134" s="7"/>
      <c r="AF134" s="14" t="str">
        <f aca="false">IF(D134="","",COUNTIF($D$2:D134,D134))</f>
        <v/>
      </c>
      <c r="AG134" s="15" t="str">
        <f aca="false" t="array" ref="AG134:AG134">IF(D134="","",IFERROR(MEDIAN(IF(($D$2:$D$401=D134)*($AF$2:$AF$401&gt;=AF134-5)*($AF$2:$AF$401&lt;=AF134-1)*($M$2:$M$401&lt;&gt;""),$M$2:$M$401)),""))</f>
        <v/>
      </c>
      <c r="AH134" s="16" t="str">
        <f aca="false">IF(AND(ISNUMBER(M134),ISNUMBER(AG134)),IF(AG134&gt;0,M134/AG134,""),"")</f>
        <v/>
      </c>
      <c r="AI134" s="15" t="str">
        <f aca="false" t="array" ref="AI134:AI134">IF(D134="","",IFERROR(MEDIAN(IF(($D$2:$D$401=D134)*($AF$2:$AF$401&gt;=AF134-5)*($AF$2:$AF$401&lt;=AF134-1)*($N$2:$N$401&lt;&gt;""),$N$2:$N$401)),""))</f>
        <v/>
      </c>
      <c r="AJ134" s="16" t="str">
        <f aca="false">IF(AND(ISNUMBER(N134),ISNUMBER(AI134)),IF(AI134&gt;0,N134/AI134,""),"")</f>
        <v/>
      </c>
      <c r="AK134" s="12" t="str">
        <f aca="false" t="array" ref="AK134:AK134">IF(D134="","",IFERROR(MEDIAN(IF(($D$2:$D$401=D134)*ISNUMBER($R$2:$R$401),$R$2:$R$401)),""))</f>
        <v/>
      </c>
      <c r="AL134" s="17" t="str">
        <f aca="false">IF(ISNUMBER(AJ134),IF(AND(AJ134&gt;=Resumen!$C$5,OR(NOT(ISNUMBER(R134)),NOT(ISNUMBER(AK134)),R134&gt;=AK134)),"Ganador",IF(AJ134&lt;=Resumen!$C$6,"Perdedor","Normal")),IF(ISNUMBER(AH134),IF(AH134&gt;=Resumen!$C$5,"Ganador (7 d, provisional)",IF(AH134&lt;=Resumen!$C$6,"Perdedor (7 d, provisional)","Normal (7 d, provisional)")),""))</f>
        <v/>
      </c>
      <c r="AM134" s="18" t="str">
        <f aca="false">IF(AND(ISNUMBER(Z134),ISNUMBER(N134)),IF(N134&gt;0,Z134/N134*1000,""),"")</f>
        <v/>
      </c>
      <c r="AN134" s="19" t="str">
        <f aca="false">IF(AND(ISNUMBER(U134),ISNUMBER(N134)),IF(N134&gt;0,U134/N134*1000,""),"")</f>
        <v/>
      </c>
    </row>
    <row r="135" customFormat="false" ht="15" hidden="false" customHeight="false" outlineLevel="0" collapsed="false">
      <c r="A135" s="7"/>
      <c r="B135" s="7"/>
      <c r="C135" s="8"/>
      <c r="D135" s="7"/>
      <c r="E135" s="7"/>
      <c r="F135" s="7"/>
      <c r="G135" s="7"/>
      <c r="H135" s="7"/>
      <c r="I135" s="7"/>
      <c r="J135" s="7"/>
      <c r="K135" s="9"/>
      <c r="L135" s="10"/>
      <c r="M135" s="10"/>
      <c r="N135" s="10"/>
      <c r="O135" s="10"/>
      <c r="P135" s="11"/>
      <c r="Q135" s="9"/>
      <c r="R135" s="12" t="str">
        <f aca="false">IF(AND(ISNUMBER(K135),ISNUMBER(Q135),K135&gt;0),Q135/K135,"")</f>
        <v/>
      </c>
      <c r="S135" s="11"/>
      <c r="T135" s="9"/>
      <c r="U135" s="10"/>
      <c r="V135" s="11"/>
      <c r="W135" s="11"/>
      <c r="X135" s="11"/>
      <c r="Y135" s="12" t="str">
        <f aca="false">IF(COUNT(V135:X135)=0,"",MAX(0,1-SUM(V135:X135)))</f>
        <v/>
      </c>
      <c r="Z135" s="13"/>
      <c r="AA135" s="9"/>
      <c r="AB135" s="7"/>
      <c r="AC135" s="7"/>
      <c r="AD135" s="7"/>
      <c r="AE135" s="7"/>
      <c r="AF135" s="14" t="str">
        <f aca="false">IF(D135="","",COUNTIF($D$2:D135,D135))</f>
        <v/>
      </c>
      <c r="AG135" s="15" t="str">
        <f aca="false" t="array" ref="AG135:AG135">IF(D135="","",IFERROR(MEDIAN(IF(($D$2:$D$401=D135)*($AF$2:$AF$401&gt;=AF135-5)*($AF$2:$AF$401&lt;=AF135-1)*($M$2:$M$401&lt;&gt;""),$M$2:$M$401)),""))</f>
        <v/>
      </c>
      <c r="AH135" s="16" t="str">
        <f aca="false">IF(AND(ISNUMBER(M135),ISNUMBER(AG135)),IF(AG135&gt;0,M135/AG135,""),"")</f>
        <v/>
      </c>
      <c r="AI135" s="15" t="str">
        <f aca="false" t="array" ref="AI135:AI135">IF(D135="","",IFERROR(MEDIAN(IF(($D$2:$D$401=D135)*($AF$2:$AF$401&gt;=AF135-5)*($AF$2:$AF$401&lt;=AF135-1)*($N$2:$N$401&lt;&gt;""),$N$2:$N$401)),""))</f>
        <v/>
      </c>
      <c r="AJ135" s="16" t="str">
        <f aca="false">IF(AND(ISNUMBER(N135),ISNUMBER(AI135)),IF(AI135&gt;0,N135/AI135,""),"")</f>
        <v/>
      </c>
      <c r="AK135" s="12" t="str">
        <f aca="false" t="array" ref="AK135:AK135">IF(D135="","",IFERROR(MEDIAN(IF(($D$2:$D$401=D135)*ISNUMBER($R$2:$R$401),$R$2:$R$401)),""))</f>
        <v/>
      </c>
      <c r="AL135" s="17" t="str">
        <f aca="false">IF(ISNUMBER(AJ135),IF(AND(AJ135&gt;=Resumen!$C$5,OR(NOT(ISNUMBER(R135)),NOT(ISNUMBER(AK135)),R135&gt;=AK135)),"Ganador",IF(AJ135&lt;=Resumen!$C$6,"Perdedor","Normal")),IF(ISNUMBER(AH135),IF(AH135&gt;=Resumen!$C$5,"Ganador (7 d, provisional)",IF(AH135&lt;=Resumen!$C$6,"Perdedor (7 d, provisional)","Normal (7 d, provisional)")),""))</f>
        <v/>
      </c>
      <c r="AM135" s="18" t="str">
        <f aca="false">IF(AND(ISNUMBER(Z135),ISNUMBER(N135)),IF(N135&gt;0,Z135/N135*1000,""),"")</f>
        <v/>
      </c>
      <c r="AN135" s="19" t="str">
        <f aca="false">IF(AND(ISNUMBER(U135),ISNUMBER(N135)),IF(N135&gt;0,U135/N135*1000,""),"")</f>
        <v/>
      </c>
    </row>
    <row r="136" customFormat="false" ht="15" hidden="false" customHeight="false" outlineLevel="0" collapsed="false">
      <c r="A136" s="7"/>
      <c r="B136" s="7"/>
      <c r="C136" s="8"/>
      <c r="D136" s="7"/>
      <c r="E136" s="7"/>
      <c r="F136" s="7"/>
      <c r="G136" s="7"/>
      <c r="H136" s="7"/>
      <c r="I136" s="7"/>
      <c r="J136" s="7"/>
      <c r="K136" s="9"/>
      <c r="L136" s="10"/>
      <c r="M136" s="10"/>
      <c r="N136" s="10"/>
      <c r="O136" s="10"/>
      <c r="P136" s="11"/>
      <c r="Q136" s="9"/>
      <c r="R136" s="12" t="str">
        <f aca="false">IF(AND(ISNUMBER(K136),ISNUMBER(Q136),K136&gt;0),Q136/K136,"")</f>
        <v/>
      </c>
      <c r="S136" s="11"/>
      <c r="T136" s="9"/>
      <c r="U136" s="10"/>
      <c r="V136" s="11"/>
      <c r="W136" s="11"/>
      <c r="X136" s="11"/>
      <c r="Y136" s="12" t="str">
        <f aca="false">IF(COUNT(V136:X136)=0,"",MAX(0,1-SUM(V136:X136)))</f>
        <v/>
      </c>
      <c r="Z136" s="13"/>
      <c r="AA136" s="9"/>
      <c r="AB136" s="7"/>
      <c r="AC136" s="7"/>
      <c r="AD136" s="7"/>
      <c r="AE136" s="7"/>
      <c r="AF136" s="14" t="str">
        <f aca="false">IF(D136="","",COUNTIF($D$2:D136,D136))</f>
        <v/>
      </c>
      <c r="AG136" s="15" t="str">
        <f aca="false" t="array" ref="AG136:AG136">IF(D136="","",IFERROR(MEDIAN(IF(($D$2:$D$401=D136)*($AF$2:$AF$401&gt;=AF136-5)*($AF$2:$AF$401&lt;=AF136-1)*($M$2:$M$401&lt;&gt;""),$M$2:$M$401)),""))</f>
        <v/>
      </c>
      <c r="AH136" s="16" t="str">
        <f aca="false">IF(AND(ISNUMBER(M136),ISNUMBER(AG136)),IF(AG136&gt;0,M136/AG136,""),"")</f>
        <v/>
      </c>
      <c r="AI136" s="15" t="str">
        <f aca="false" t="array" ref="AI136:AI136">IF(D136="","",IFERROR(MEDIAN(IF(($D$2:$D$401=D136)*($AF$2:$AF$401&gt;=AF136-5)*($AF$2:$AF$401&lt;=AF136-1)*($N$2:$N$401&lt;&gt;""),$N$2:$N$401)),""))</f>
        <v/>
      </c>
      <c r="AJ136" s="16" t="str">
        <f aca="false">IF(AND(ISNUMBER(N136),ISNUMBER(AI136)),IF(AI136&gt;0,N136/AI136,""),"")</f>
        <v/>
      </c>
      <c r="AK136" s="12" t="str">
        <f aca="false" t="array" ref="AK136:AK136">IF(D136="","",IFERROR(MEDIAN(IF(($D$2:$D$401=D136)*ISNUMBER($R$2:$R$401),$R$2:$R$401)),""))</f>
        <v/>
      </c>
      <c r="AL136" s="17" t="str">
        <f aca="false">IF(ISNUMBER(AJ136),IF(AND(AJ136&gt;=Resumen!$C$5,OR(NOT(ISNUMBER(R136)),NOT(ISNUMBER(AK136)),R136&gt;=AK136)),"Ganador",IF(AJ136&lt;=Resumen!$C$6,"Perdedor","Normal")),IF(ISNUMBER(AH136),IF(AH136&gt;=Resumen!$C$5,"Ganador (7 d, provisional)",IF(AH136&lt;=Resumen!$C$6,"Perdedor (7 d, provisional)","Normal (7 d, provisional)")),""))</f>
        <v/>
      </c>
      <c r="AM136" s="18" t="str">
        <f aca="false">IF(AND(ISNUMBER(Z136),ISNUMBER(N136)),IF(N136&gt;0,Z136/N136*1000,""),"")</f>
        <v/>
      </c>
      <c r="AN136" s="19" t="str">
        <f aca="false">IF(AND(ISNUMBER(U136),ISNUMBER(N136)),IF(N136&gt;0,U136/N136*1000,""),"")</f>
        <v/>
      </c>
    </row>
    <row r="137" customFormat="false" ht="15" hidden="false" customHeight="false" outlineLevel="0" collapsed="false">
      <c r="A137" s="7"/>
      <c r="B137" s="7"/>
      <c r="C137" s="8"/>
      <c r="D137" s="7"/>
      <c r="E137" s="7"/>
      <c r="F137" s="7"/>
      <c r="G137" s="7"/>
      <c r="H137" s="7"/>
      <c r="I137" s="7"/>
      <c r="J137" s="7"/>
      <c r="K137" s="9"/>
      <c r="L137" s="10"/>
      <c r="M137" s="10"/>
      <c r="N137" s="10"/>
      <c r="O137" s="10"/>
      <c r="P137" s="11"/>
      <c r="Q137" s="9"/>
      <c r="R137" s="12" t="str">
        <f aca="false">IF(AND(ISNUMBER(K137),ISNUMBER(Q137),K137&gt;0),Q137/K137,"")</f>
        <v/>
      </c>
      <c r="S137" s="11"/>
      <c r="T137" s="9"/>
      <c r="U137" s="10"/>
      <c r="V137" s="11"/>
      <c r="W137" s="11"/>
      <c r="X137" s="11"/>
      <c r="Y137" s="12" t="str">
        <f aca="false">IF(COUNT(V137:X137)=0,"",MAX(0,1-SUM(V137:X137)))</f>
        <v/>
      </c>
      <c r="Z137" s="13"/>
      <c r="AA137" s="9"/>
      <c r="AB137" s="7"/>
      <c r="AC137" s="7"/>
      <c r="AD137" s="7"/>
      <c r="AE137" s="7"/>
      <c r="AF137" s="14" t="str">
        <f aca="false">IF(D137="","",COUNTIF($D$2:D137,D137))</f>
        <v/>
      </c>
      <c r="AG137" s="15" t="str">
        <f aca="false" t="array" ref="AG137:AG137">IF(D137="","",IFERROR(MEDIAN(IF(($D$2:$D$401=D137)*($AF$2:$AF$401&gt;=AF137-5)*($AF$2:$AF$401&lt;=AF137-1)*($M$2:$M$401&lt;&gt;""),$M$2:$M$401)),""))</f>
        <v/>
      </c>
      <c r="AH137" s="16" t="str">
        <f aca="false">IF(AND(ISNUMBER(M137),ISNUMBER(AG137)),IF(AG137&gt;0,M137/AG137,""),"")</f>
        <v/>
      </c>
      <c r="AI137" s="15" t="str">
        <f aca="false" t="array" ref="AI137:AI137">IF(D137="","",IFERROR(MEDIAN(IF(($D$2:$D$401=D137)*($AF$2:$AF$401&gt;=AF137-5)*($AF$2:$AF$401&lt;=AF137-1)*($N$2:$N$401&lt;&gt;""),$N$2:$N$401)),""))</f>
        <v/>
      </c>
      <c r="AJ137" s="16" t="str">
        <f aca="false">IF(AND(ISNUMBER(N137),ISNUMBER(AI137)),IF(AI137&gt;0,N137/AI137,""),"")</f>
        <v/>
      </c>
      <c r="AK137" s="12" t="str">
        <f aca="false" t="array" ref="AK137:AK137">IF(D137="","",IFERROR(MEDIAN(IF(($D$2:$D$401=D137)*ISNUMBER($R$2:$R$401),$R$2:$R$401)),""))</f>
        <v/>
      </c>
      <c r="AL137" s="17" t="str">
        <f aca="false">IF(ISNUMBER(AJ137),IF(AND(AJ137&gt;=Resumen!$C$5,OR(NOT(ISNUMBER(R137)),NOT(ISNUMBER(AK137)),R137&gt;=AK137)),"Ganador",IF(AJ137&lt;=Resumen!$C$6,"Perdedor","Normal")),IF(ISNUMBER(AH137),IF(AH137&gt;=Resumen!$C$5,"Ganador (7 d, provisional)",IF(AH137&lt;=Resumen!$C$6,"Perdedor (7 d, provisional)","Normal (7 d, provisional)")),""))</f>
        <v/>
      </c>
      <c r="AM137" s="18" t="str">
        <f aca="false">IF(AND(ISNUMBER(Z137),ISNUMBER(N137)),IF(N137&gt;0,Z137/N137*1000,""),"")</f>
        <v/>
      </c>
      <c r="AN137" s="19" t="str">
        <f aca="false">IF(AND(ISNUMBER(U137),ISNUMBER(N137)),IF(N137&gt;0,U137/N137*1000,""),"")</f>
        <v/>
      </c>
    </row>
    <row r="138" customFormat="false" ht="15" hidden="false" customHeight="false" outlineLevel="0" collapsed="false">
      <c r="A138" s="7"/>
      <c r="B138" s="7"/>
      <c r="C138" s="8"/>
      <c r="D138" s="7"/>
      <c r="E138" s="7"/>
      <c r="F138" s="7"/>
      <c r="G138" s="7"/>
      <c r="H138" s="7"/>
      <c r="I138" s="7"/>
      <c r="J138" s="7"/>
      <c r="K138" s="9"/>
      <c r="L138" s="10"/>
      <c r="M138" s="10"/>
      <c r="N138" s="10"/>
      <c r="O138" s="10"/>
      <c r="P138" s="11"/>
      <c r="Q138" s="9"/>
      <c r="R138" s="12" t="str">
        <f aca="false">IF(AND(ISNUMBER(K138),ISNUMBER(Q138),K138&gt;0),Q138/K138,"")</f>
        <v/>
      </c>
      <c r="S138" s="11"/>
      <c r="T138" s="9"/>
      <c r="U138" s="10"/>
      <c r="V138" s="11"/>
      <c r="W138" s="11"/>
      <c r="X138" s="11"/>
      <c r="Y138" s="12" t="str">
        <f aca="false">IF(COUNT(V138:X138)=0,"",MAX(0,1-SUM(V138:X138)))</f>
        <v/>
      </c>
      <c r="Z138" s="13"/>
      <c r="AA138" s="9"/>
      <c r="AB138" s="7"/>
      <c r="AC138" s="7"/>
      <c r="AD138" s="7"/>
      <c r="AE138" s="7"/>
      <c r="AF138" s="14" t="str">
        <f aca="false">IF(D138="","",COUNTIF($D$2:D138,D138))</f>
        <v/>
      </c>
      <c r="AG138" s="15" t="str">
        <f aca="false" t="array" ref="AG138:AG138">IF(D138="","",IFERROR(MEDIAN(IF(($D$2:$D$401=D138)*($AF$2:$AF$401&gt;=AF138-5)*($AF$2:$AF$401&lt;=AF138-1)*($M$2:$M$401&lt;&gt;""),$M$2:$M$401)),""))</f>
        <v/>
      </c>
      <c r="AH138" s="16" t="str">
        <f aca="false">IF(AND(ISNUMBER(M138),ISNUMBER(AG138)),IF(AG138&gt;0,M138/AG138,""),"")</f>
        <v/>
      </c>
      <c r="AI138" s="15" t="str">
        <f aca="false" t="array" ref="AI138:AI138">IF(D138="","",IFERROR(MEDIAN(IF(($D$2:$D$401=D138)*($AF$2:$AF$401&gt;=AF138-5)*($AF$2:$AF$401&lt;=AF138-1)*($N$2:$N$401&lt;&gt;""),$N$2:$N$401)),""))</f>
        <v/>
      </c>
      <c r="AJ138" s="16" t="str">
        <f aca="false">IF(AND(ISNUMBER(N138),ISNUMBER(AI138)),IF(AI138&gt;0,N138/AI138,""),"")</f>
        <v/>
      </c>
      <c r="AK138" s="12" t="str">
        <f aca="false" t="array" ref="AK138:AK138">IF(D138="","",IFERROR(MEDIAN(IF(($D$2:$D$401=D138)*ISNUMBER($R$2:$R$401),$R$2:$R$401)),""))</f>
        <v/>
      </c>
      <c r="AL138" s="17" t="str">
        <f aca="false">IF(ISNUMBER(AJ138),IF(AND(AJ138&gt;=Resumen!$C$5,OR(NOT(ISNUMBER(R138)),NOT(ISNUMBER(AK138)),R138&gt;=AK138)),"Ganador",IF(AJ138&lt;=Resumen!$C$6,"Perdedor","Normal")),IF(ISNUMBER(AH138),IF(AH138&gt;=Resumen!$C$5,"Ganador (7 d, provisional)",IF(AH138&lt;=Resumen!$C$6,"Perdedor (7 d, provisional)","Normal (7 d, provisional)")),""))</f>
        <v/>
      </c>
      <c r="AM138" s="18" t="str">
        <f aca="false">IF(AND(ISNUMBER(Z138),ISNUMBER(N138)),IF(N138&gt;0,Z138/N138*1000,""),"")</f>
        <v/>
      </c>
      <c r="AN138" s="19" t="str">
        <f aca="false">IF(AND(ISNUMBER(U138),ISNUMBER(N138)),IF(N138&gt;0,U138/N138*1000,""),"")</f>
        <v/>
      </c>
    </row>
    <row r="139" customFormat="false" ht="15" hidden="false" customHeight="false" outlineLevel="0" collapsed="false">
      <c r="A139" s="7"/>
      <c r="B139" s="7"/>
      <c r="C139" s="8"/>
      <c r="D139" s="7"/>
      <c r="E139" s="7"/>
      <c r="F139" s="7"/>
      <c r="G139" s="7"/>
      <c r="H139" s="7"/>
      <c r="I139" s="7"/>
      <c r="J139" s="7"/>
      <c r="K139" s="9"/>
      <c r="L139" s="10"/>
      <c r="M139" s="10"/>
      <c r="N139" s="10"/>
      <c r="O139" s="10"/>
      <c r="P139" s="11"/>
      <c r="Q139" s="9"/>
      <c r="R139" s="12" t="str">
        <f aca="false">IF(AND(ISNUMBER(K139),ISNUMBER(Q139),K139&gt;0),Q139/K139,"")</f>
        <v/>
      </c>
      <c r="S139" s="11"/>
      <c r="T139" s="9"/>
      <c r="U139" s="10"/>
      <c r="V139" s="11"/>
      <c r="W139" s="11"/>
      <c r="X139" s="11"/>
      <c r="Y139" s="12" t="str">
        <f aca="false">IF(COUNT(V139:X139)=0,"",MAX(0,1-SUM(V139:X139)))</f>
        <v/>
      </c>
      <c r="Z139" s="13"/>
      <c r="AA139" s="9"/>
      <c r="AB139" s="7"/>
      <c r="AC139" s="7"/>
      <c r="AD139" s="7"/>
      <c r="AE139" s="7"/>
      <c r="AF139" s="14" t="str">
        <f aca="false">IF(D139="","",COUNTIF($D$2:D139,D139))</f>
        <v/>
      </c>
      <c r="AG139" s="15" t="str">
        <f aca="false" t="array" ref="AG139:AG139">IF(D139="","",IFERROR(MEDIAN(IF(($D$2:$D$401=D139)*($AF$2:$AF$401&gt;=AF139-5)*($AF$2:$AF$401&lt;=AF139-1)*($M$2:$M$401&lt;&gt;""),$M$2:$M$401)),""))</f>
        <v/>
      </c>
      <c r="AH139" s="16" t="str">
        <f aca="false">IF(AND(ISNUMBER(M139),ISNUMBER(AG139)),IF(AG139&gt;0,M139/AG139,""),"")</f>
        <v/>
      </c>
      <c r="AI139" s="15" t="str">
        <f aca="false" t="array" ref="AI139:AI139">IF(D139="","",IFERROR(MEDIAN(IF(($D$2:$D$401=D139)*($AF$2:$AF$401&gt;=AF139-5)*($AF$2:$AF$401&lt;=AF139-1)*($N$2:$N$401&lt;&gt;""),$N$2:$N$401)),""))</f>
        <v/>
      </c>
      <c r="AJ139" s="16" t="str">
        <f aca="false">IF(AND(ISNUMBER(N139),ISNUMBER(AI139)),IF(AI139&gt;0,N139/AI139,""),"")</f>
        <v/>
      </c>
      <c r="AK139" s="12" t="str">
        <f aca="false" t="array" ref="AK139:AK139">IF(D139="","",IFERROR(MEDIAN(IF(($D$2:$D$401=D139)*ISNUMBER($R$2:$R$401),$R$2:$R$401)),""))</f>
        <v/>
      </c>
      <c r="AL139" s="17" t="str">
        <f aca="false">IF(ISNUMBER(AJ139),IF(AND(AJ139&gt;=Resumen!$C$5,OR(NOT(ISNUMBER(R139)),NOT(ISNUMBER(AK139)),R139&gt;=AK139)),"Ganador",IF(AJ139&lt;=Resumen!$C$6,"Perdedor","Normal")),IF(ISNUMBER(AH139),IF(AH139&gt;=Resumen!$C$5,"Ganador (7 d, provisional)",IF(AH139&lt;=Resumen!$C$6,"Perdedor (7 d, provisional)","Normal (7 d, provisional)")),""))</f>
        <v/>
      </c>
      <c r="AM139" s="18" t="str">
        <f aca="false">IF(AND(ISNUMBER(Z139),ISNUMBER(N139)),IF(N139&gt;0,Z139/N139*1000,""),"")</f>
        <v/>
      </c>
      <c r="AN139" s="19" t="str">
        <f aca="false">IF(AND(ISNUMBER(U139),ISNUMBER(N139)),IF(N139&gt;0,U139/N139*1000,""),"")</f>
        <v/>
      </c>
    </row>
    <row r="140" customFormat="false" ht="15" hidden="false" customHeight="false" outlineLevel="0" collapsed="false">
      <c r="A140" s="7"/>
      <c r="B140" s="7"/>
      <c r="C140" s="8"/>
      <c r="D140" s="7"/>
      <c r="E140" s="7"/>
      <c r="F140" s="7"/>
      <c r="G140" s="7"/>
      <c r="H140" s="7"/>
      <c r="I140" s="7"/>
      <c r="J140" s="7"/>
      <c r="K140" s="9"/>
      <c r="L140" s="10"/>
      <c r="M140" s="10"/>
      <c r="N140" s="10"/>
      <c r="O140" s="10"/>
      <c r="P140" s="11"/>
      <c r="Q140" s="9"/>
      <c r="R140" s="12" t="str">
        <f aca="false">IF(AND(ISNUMBER(K140),ISNUMBER(Q140),K140&gt;0),Q140/K140,"")</f>
        <v/>
      </c>
      <c r="S140" s="11"/>
      <c r="T140" s="9"/>
      <c r="U140" s="10"/>
      <c r="V140" s="11"/>
      <c r="W140" s="11"/>
      <c r="X140" s="11"/>
      <c r="Y140" s="12" t="str">
        <f aca="false">IF(COUNT(V140:X140)=0,"",MAX(0,1-SUM(V140:X140)))</f>
        <v/>
      </c>
      <c r="Z140" s="13"/>
      <c r="AA140" s="9"/>
      <c r="AB140" s="7"/>
      <c r="AC140" s="7"/>
      <c r="AD140" s="7"/>
      <c r="AE140" s="7"/>
      <c r="AF140" s="14" t="str">
        <f aca="false">IF(D140="","",COUNTIF($D$2:D140,D140))</f>
        <v/>
      </c>
      <c r="AG140" s="15" t="str">
        <f aca="false" t="array" ref="AG140:AG140">IF(D140="","",IFERROR(MEDIAN(IF(($D$2:$D$401=D140)*($AF$2:$AF$401&gt;=AF140-5)*($AF$2:$AF$401&lt;=AF140-1)*($M$2:$M$401&lt;&gt;""),$M$2:$M$401)),""))</f>
        <v/>
      </c>
      <c r="AH140" s="16" t="str">
        <f aca="false">IF(AND(ISNUMBER(M140),ISNUMBER(AG140)),IF(AG140&gt;0,M140/AG140,""),"")</f>
        <v/>
      </c>
      <c r="AI140" s="15" t="str">
        <f aca="false" t="array" ref="AI140:AI140">IF(D140="","",IFERROR(MEDIAN(IF(($D$2:$D$401=D140)*($AF$2:$AF$401&gt;=AF140-5)*($AF$2:$AF$401&lt;=AF140-1)*($N$2:$N$401&lt;&gt;""),$N$2:$N$401)),""))</f>
        <v/>
      </c>
      <c r="AJ140" s="16" t="str">
        <f aca="false">IF(AND(ISNUMBER(N140),ISNUMBER(AI140)),IF(AI140&gt;0,N140/AI140,""),"")</f>
        <v/>
      </c>
      <c r="AK140" s="12" t="str">
        <f aca="false" t="array" ref="AK140:AK140">IF(D140="","",IFERROR(MEDIAN(IF(($D$2:$D$401=D140)*ISNUMBER($R$2:$R$401),$R$2:$R$401)),""))</f>
        <v/>
      </c>
      <c r="AL140" s="17" t="str">
        <f aca="false">IF(ISNUMBER(AJ140),IF(AND(AJ140&gt;=Resumen!$C$5,OR(NOT(ISNUMBER(R140)),NOT(ISNUMBER(AK140)),R140&gt;=AK140)),"Ganador",IF(AJ140&lt;=Resumen!$C$6,"Perdedor","Normal")),IF(ISNUMBER(AH140),IF(AH140&gt;=Resumen!$C$5,"Ganador (7 d, provisional)",IF(AH140&lt;=Resumen!$C$6,"Perdedor (7 d, provisional)","Normal (7 d, provisional)")),""))</f>
        <v/>
      </c>
      <c r="AM140" s="18" t="str">
        <f aca="false">IF(AND(ISNUMBER(Z140),ISNUMBER(N140)),IF(N140&gt;0,Z140/N140*1000,""),"")</f>
        <v/>
      </c>
      <c r="AN140" s="19" t="str">
        <f aca="false">IF(AND(ISNUMBER(U140),ISNUMBER(N140)),IF(N140&gt;0,U140/N140*1000,""),"")</f>
        <v/>
      </c>
    </row>
    <row r="141" customFormat="false" ht="15" hidden="false" customHeight="false" outlineLevel="0" collapsed="false">
      <c r="A141" s="7"/>
      <c r="B141" s="7"/>
      <c r="C141" s="8"/>
      <c r="D141" s="7"/>
      <c r="E141" s="7"/>
      <c r="F141" s="7"/>
      <c r="G141" s="7"/>
      <c r="H141" s="7"/>
      <c r="I141" s="7"/>
      <c r="J141" s="7"/>
      <c r="K141" s="9"/>
      <c r="L141" s="10"/>
      <c r="M141" s="10"/>
      <c r="N141" s="10"/>
      <c r="O141" s="10"/>
      <c r="P141" s="11"/>
      <c r="Q141" s="9"/>
      <c r="R141" s="12" t="str">
        <f aca="false">IF(AND(ISNUMBER(K141),ISNUMBER(Q141),K141&gt;0),Q141/K141,"")</f>
        <v/>
      </c>
      <c r="S141" s="11"/>
      <c r="T141" s="9"/>
      <c r="U141" s="10"/>
      <c r="V141" s="11"/>
      <c r="W141" s="11"/>
      <c r="X141" s="11"/>
      <c r="Y141" s="12" t="str">
        <f aca="false">IF(COUNT(V141:X141)=0,"",MAX(0,1-SUM(V141:X141)))</f>
        <v/>
      </c>
      <c r="Z141" s="13"/>
      <c r="AA141" s="9"/>
      <c r="AB141" s="7"/>
      <c r="AC141" s="7"/>
      <c r="AD141" s="7"/>
      <c r="AE141" s="7"/>
      <c r="AF141" s="14" t="str">
        <f aca="false">IF(D141="","",COUNTIF($D$2:D141,D141))</f>
        <v/>
      </c>
      <c r="AG141" s="15" t="str">
        <f aca="false" t="array" ref="AG141:AG141">IF(D141="","",IFERROR(MEDIAN(IF(($D$2:$D$401=D141)*($AF$2:$AF$401&gt;=AF141-5)*($AF$2:$AF$401&lt;=AF141-1)*($M$2:$M$401&lt;&gt;""),$M$2:$M$401)),""))</f>
        <v/>
      </c>
      <c r="AH141" s="16" t="str">
        <f aca="false">IF(AND(ISNUMBER(M141),ISNUMBER(AG141)),IF(AG141&gt;0,M141/AG141,""),"")</f>
        <v/>
      </c>
      <c r="AI141" s="15" t="str">
        <f aca="false" t="array" ref="AI141:AI141">IF(D141="","",IFERROR(MEDIAN(IF(($D$2:$D$401=D141)*($AF$2:$AF$401&gt;=AF141-5)*($AF$2:$AF$401&lt;=AF141-1)*($N$2:$N$401&lt;&gt;""),$N$2:$N$401)),""))</f>
        <v/>
      </c>
      <c r="AJ141" s="16" t="str">
        <f aca="false">IF(AND(ISNUMBER(N141),ISNUMBER(AI141)),IF(AI141&gt;0,N141/AI141,""),"")</f>
        <v/>
      </c>
      <c r="AK141" s="12" t="str">
        <f aca="false" t="array" ref="AK141:AK141">IF(D141="","",IFERROR(MEDIAN(IF(($D$2:$D$401=D141)*ISNUMBER($R$2:$R$401),$R$2:$R$401)),""))</f>
        <v/>
      </c>
      <c r="AL141" s="17" t="str">
        <f aca="false">IF(ISNUMBER(AJ141),IF(AND(AJ141&gt;=Resumen!$C$5,OR(NOT(ISNUMBER(R141)),NOT(ISNUMBER(AK141)),R141&gt;=AK141)),"Ganador",IF(AJ141&lt;=Resumen!$C$6,"Perdedor","Normal")),IF(ISNUMBER(AH141),IF(AH141&gt;=Resumen!$C$5,"Ganador (7 d, provisional)",IF(AH141&lt;=Resumen!$C$6,"Perdedor (7 d, provisional)","Normal (7 d, provisional)")),""))</f>
        <v/>
      </c>
      <c r="AM141" s="18" t="str">
        <f aca="false">IF(AND(ISNUMBER(Z141),ISNUMBER(N141)),IF(N141&gt;0,Z141/N141*1000,""),"")</f>
        <v/>
      </c>
      <c r="AN141" s="19" t="str">
        <f aca="false">IF(AND(ISNUMBER(U141),ISNUMBER(N141)),IF(N141&gt;0,U141/N141*1000,""),"")</f>
        <v/>
      </c>
    </row>
    <row r="142" customFormat="false" ht="15" hidden="false" customHeight="false" outlineLevel="0" collapsed="false">
      <c r="A142" s="7"/>
      <c r="B142" s="7"/>
      <c r="C142" s="8"/>
      <c r="D142" s="7"/>
      <c r="E142" s="7"/>
      <c r="F142" s="7"/>
      <c r="G142" s="7"/>
      <c r="H142" s="7"/>
      <c r="I142" s="7"/>
      <c r="J142" s="7"/>
      <c r="K142" s="9"/>
      <c r="L142" s="10"/>
      <c r="M142" s="10"/>
      <c r="N142" s="10"/>
      <c r="O142" s="10"/>
      <c r="P142" s="11"/>
      <c r="Q142" s="9"/>
      <c r="R142" s="12" t="str">
        <f aca="false">IF(AND(ISNUMBER(K142),ISNUMBER(Q142),K142&gt;0),Q142/K142,"")</f>
        <v/>
      </c>
      <c r="S142" s="11"/>
      <c r="T142" s="9"/>
      <c r="U142" s="10"/>
      <c r="V142" s="11"/>
      <c r="W142" s="11"/>
      <c r="X142" s="11"/>
      <c r="Y142" s="12" t="str">
        <f aca="false">IF(COUNT(V142:X142)=0,"",MAX(0,1-SUM(V142:X142)))</f>
        <v/>
      </c>
      <c r="Z142" s="13"/>
      <c r="AA142" s="9"/>
      <c r="AB142" s="7"/>
      <c r="AC142" s="7"/>
      <c r="AD142" s="7"/>
      <c r="AE142" s="7"/>
      <c r="AF142" s="14" t="str">
        <f aca="false">IF(D142="","",COUNTIF($D$2:D142,D142))</f>
        <v/>
      </c>
      <c r="AG142" s="15" t="str">
        <f aca="false" t="array" ref="AG142:AG142">IF(D142="","",IFERROR(MEDIAN(IF(($D$2:$D$401=D142)*($AF$2:$AF$401&gt;=AF142-5)*($AF$2:$AF$401&lt;=AF142-1)*($M$2:$M$401&lt;&gt;""),$M$2:$M$401)),""))</f>
        <v/>
      </c>
      <c r="AH142" s="16" t="str">
        <f aca="false">IF(AND(ISNUMBER(M142),ISNUMBER(AG142)),IF(AG142&gt;0,M142/AG142,""),"")</f>
        <v/>
      </c>
      <c r="AI142" s="15" t="str">
        <f aca="false" t="array" ref="AI142:AI142">IF(D142="","",IFERROR(MEDIAN(IF(($D$2:$D$401=D142)*($AF$2:$AF$401&gt;=AF142-5)*($AF$2:$AF$401&lt;=AF142-1)*($N$2:$N$401&lt;&gt;""),$N$2:$N$401)),""))</f>
        <v/>
      </c>
      <c r="AJ142" s="16" t="str">
        <f aca="false">IF(AND(ISNUMBER(N142),ISNUMBER(AI142)),IF(AI142&gt;0,N142/AI142,""),"")</f>
        <v/>
      </c>
      <c r="AK142" s="12" t="str">
        <f aca="false" t="array" ref="AK142:AK142">IF(D142="","",IFERROR(MEDIAN(IF(($D$2:$D$401=D142)*ISNUMBER($R$2:$R$401),$R$2:$R$401)),""))</f>
        <v/>
      </c>
      <c r="AL142" s="17" t="str">
        <f aca="false">IF(ISNUMBER(AJ142),IF(AND(AJ142&gt;=Resumen!$C$5,OR(NOT(ISNUMBER(R142)),NOT(ISNUMBER(AK142)),R142&gt;=AK142)),"Ganador",IF(AJ142&lt;=Resumen!$C$6,"Perdedor","Normal")),IF(ISNUMBER(AH142),IF(AH142&gt;=Resumen!$C$5,"Ganador (7 d, provisional)",IF(AH142&lt;=Resumen!$C$6,"Perdedor (7 d, provisional)","Normal (7 d, provisional)")),""))</f>
        <v/>
      </c>
      <c r="AM142" s="18" t="str">
        <f aca="false">IF(AND(ISNUMBER(Z142),ISNUMBER(N142)),IF(N142&gt;0,Z142/N142*1000,""),"")</f>
        <v/>
      </c>
      <c r="AN142" s="19" t="str">
        <f aca="false">IF(AND(ISNUMBER(U142),ISNUMBER(N142)),IF(N142&gt;0,U142/N142*1000,""),"")</f>
        <v/>
      </c>
    </row>
    <row r="143" customFormat="false" ht="15" hidden="false" customHeight="false" outlineLevel="0" collapsed="false">
      <c r="A143" s="7"/>
      <c r="B143" s="7"/>
      <c r="C143" s="8"/>
      <c r="D143" s="7"/>
      <c r="E143" s="7"/>
      <c r="F143" s="7"/>
      <c r="G143" s="7"/>
      <c r="H143" s="7"/>
      <c r="I143" s="7"/>
      <c r="J143" s="7"/>
      <c r="K143" s="9"/>
      <c r="L143" s="10"/>
      <c r="M143" s="10"/>
      <c r="N143" s="10"/>
      <c r="O143" s="10"/>
      <c r="P143" s="11"/>
      <c r="Q143" s="9"/>
      <c r="R143" s="12" t="str">
        <f aca="false">IF(AND(ISNUMBER(K143),ISNUMBER(Q143),K143&gt;0),Q143/K143,"")</f>
        <v/>
      </c>
      <c r="S143" s="11"/>
      <c r="T143" s="9"/>
      <c r="U143" s="10"/>
      <c r="V143" s="11"/>
      <c r="W143" s="11"/>
      <c r="X143" s="11"/>
      <c r="Y143" s="12" t="str">
        <f aca="false">IF(COUNT(V143:X143)=0,"",MAX(0,1-SUM(V143:X143)))</f>
        <v/>
      </c>
      <c r="Z143" s="13"/>
      <c r="AA143" s="9"/>
      <c r="AB143" s="7"/>
      <c r="AC143" s="7"/>
      <c r="AD143" s="7"/>
      <c r="AE143" s="7"/>
      <c r="AF143" s="14" t="str">
        <f aca="false">IF(D143="","",COUNTIF($D$2:D143,D143))</f>
        <v/>
      </c>
      <c r="AG143" s="15" t="str">
        <f aca="false" t="array" ref="AG143:AG143">IF(D143="","",IFERROR(MEDIAN(IF(($D$2:$D$401=D143)*($AF$2:$AF$401&gt;=AF143-5)*($AF$2:$AF$401&lt;=AF143-1)*($M$2:$M$401&lt;&gt;""),$M$2:$M$401)),""))</f>
        <v/>
      </c>
      <c r="AH143" s="16" t="str">
        <f aca="false">IF(AND(ISNUMBER(M143),ISNUMBER(AG143)),IF(AG143&gt;0,M143/AG143,""),"")</f>
        <v/>
      </c>
      <c r="AI143" s="15" t="str">
        <f aca="false" t="array" ref="AI143:AI143">IF(D143="","",IFERROR(MEDIAN(IF(($D$2:$D$401=D143)*($AF$2:$AF$401&gt;=AF143-5)*($AF$2:$AF$401&lt;=AF143-1)*($N$2:$N$401&lt;&gt;""),$N$2:$N$401)),""))</f>
        <v/>
      </c>
      <c r="AJ143" s="16" t="str">
        <f aca="false">IF(AND(ISNUMBER(N143),ISNUMBER(AI143)),IF(AI143&gt;0,N143/AI143,""),"")</f>
        <v/>
      </c>
      <c r="AK143" s="12" t="str">
        <f aca="false" t="array" ref="AK143:AK143">IF(D143="","",IFERROR(MEDIAN(IF(($D$2:$D$401=D143)*ISNUMBER($R$2:$R$401),$R$2:$R$401)),""))</f>
        <v/>
      </c>
      <c r="AL143" s="17" t="str">
        <f aca="false">IF(ISNUMBER(AJ143),IF(AND(AJ143&gt;=Resumen!$C$5,OR(NOT(ISNUMBER(R143)),NOT(ISNUMBER(AK143)),R143&gt;=AK143)),"Ganador",IF(AJ143&lt;=Resumen!$C$6,"Perdedor","Normal")),IF(ISNUMBER(AH143),IF(AH143&gt;=Resumen!$C$5,"Ganador (7 d, provisional)",IF(AH143&lt;=Resumen!$C$6,"Perdedor (7 d, provisional)","Normal (7 d, provisional)")),""))</f>
        <v/>
      </c>
      <c r="AM143" s="18" t="str">
        <f aca="false">IF(AND(ISNUMBER(Z143),ISNUMBER(N143)),IF(N143&gt;0,Z143/N143*1000,""),"")</f>
        <v/>
      </c>
      <c r="AN143" s="19" t="str">
        <f aca="false">IF(AND(ISNUMBER(U143),ISNUMBER(N143)),IF(N143&gt;0,U143/N143*1000,""),"")</f>
        <v/>
      </c>
    </row>
    <row r="144" customFormat="false" ht="15" hidden="false" customHeight="false" outlineLevel="0" collapsed="false">
      <c r="A144" s="7"/>
      <c r="B144" s="7"/>
      <c r="C144" s="8"/>
      <c r="D144" s="7"/>
      <c r="E144" s="7"/>
      <c r="F144" s="7"/>
      <c r="G144" s="7"/>
      <c r="H144" s="7"/>
      <c r="I144" s="7"/>
      <c r="J144" s="7"/>
      <c r="K144" s="9"/>
      <c r="L144" s="10"/>
      <c r="M144" s="10"/>
      <c r="N144" s="10"/>
      <c r="O144" s="10"/>
      <c r="P144" s="11"/>
      <c r="Q144" s="9"/>
      <c r="R144" s="12" t="str">
        <f aca="false">IF(AND(ISNUMBER(K144),ISNUMBER(Q144),K144&gt;0),Q144/K144,"")</f>
        <v/>
      </c>
      <c r="S144" s="11"/>
      <c r="T144" s="9"/>
      <c r="U144" s="10"/>
      <c r="V144" s="11"/>
      <c r="W144" s="11"/>
      <c r="X144" s="11"/>
      <c r="Y144" s="12" t="str">
        <f aca="false">IF(COUNT(V144:X144)=0,"",MAX(0,1-SUM(V144:X144)))</f>
        <v/>
      </c>
      <c r="Z144" s="13"/>
      <c r="AA144" s="9"/>
      <c r="AB144" s="7"/>
      <c r="AC144" s="7"/>
      <c r="AD144" s="7"/>
      <c r="AE144" s="7"/>
      <c r="AF144" s="14" t="str">
        <f aca="false">IF(D144="","",COUNTIF($D$2:D144,D144))</f>
        <v/>
      </c>
      <c r="AG144" s="15" t="str">
        <f aca="false" t="array" ref="AG144:AG144">IF(D144="","",IFERROR(MEDIAN(IF(($D$2:$D$401=D144)*($AF$2:$AF$401&gt;=AF144-5)*($AF$2:$AF$401&lt;=AF144-1)*($M$2:$M$401&lt;&gt;""),$M$2:$M$401)),""))</f>
        <v/>
      </c>
      <c r="AH144" s="16" t="str">
        <f aca="false">IF(AND(ISNUMBER(M144),ISNUMBER(AG144)),IF(AG144&gt;0,M144/AG144,""),"")</f>
        <v/>
      </c>
      <c r="AI144" s="15" t="str">
        <f aca="false" t="array" ref="AI144:AI144">IF(D144="","",IFERROR(MEDIAN(IF(($D$2:$D$401=D144)*($AF$2:$AF$401&gt;=AF144-5)*($AF$2:$AF$401&lt;=AF144-1)*($N$2:$N$401&lt;&gt;""),$N$2:$N$401)),""))</f>
        <v/>
      </c>
      <c r="AJ144" s="16" t="str">
        <f aca="false">IF(AND(ISNUMBER(N144),ISNUMBER(AI144)),IF(AI144&gt;0,N144/AI144,""),"")</f>
        <v/>
      </c>
      <c r="AK144" s="12" t="str">
        <f aca="false" t="array" ref="AK144:AK144">IF(D144="","",IFERROR(MEDIAN(IF(($D$2:$D$401=D144)*ISNUMBER($R$2:$R$401),$R$2:$R$401)),""))</f>
        <v/>
      </c>
      <c r="AL144" s="17" t="str">
        <f aca="false">IF(ISNUMBER(AJ144),IF(AND(AJ144&gt;=Resumen!$C$5,OR(NOT(ISNUMBER(R144)),NOT(ISNUMBER(AK144)),R144&gt;=AK144)),"Ganador",IF(AJ144&lt;=Resumen!$C$6,"Perdedor","Normal")),IF(ISNUMBER(AH144),IF(AH144&gt;=Resumen!$C$5,"Ganador (7 d, provisional)",IF(AH144&lt;=Resumen!$C$6,"Perdedor (7 d, provisional)","Normal (7 d, provisional)")),""))</f>
        <v/>
      </c>
      <c r="AM144" s="18" t="str">
        <f aca="false">IF(AND(ISNUMBER(Z144),ISNUMBER(N144)),IF(N144&gt;0,Z144/N144*1000,""),"")</f>
        <v/>
      </c>
      <c r="AN144" s="19" t="str">
        <f aca="false">IF(AND(ISNUMBER(U144),ISNUMBER(N144)),IF(N144&gt;0,U144/N144*1000,""),"")</f>
        <v/>
      </c>
    </row>
    <row r="145" customFormat="false" ht="15" hidden="false" customHeight="false" outlineLevel="0" collapsed="false">
      <c r="A145" s="7"/>
      <c r="B145" s="7"/>
      <c r="C145" s="8"/>
      <c r="D145" s="7"/>
      <c r="E145" s="7"/>
      <c r="F145" s="7"/>
      <c r="G145" s="7"/>
      <c r="H145" s="7"/>
      <c r="I145" s="7"/>
      <c r="J145" s="7"/>
      <c r="K145" s="9"/>
      <c r="L145" s="10"/>
      <c r="M145" s="10"/>
      <c r="N145" s="10"/>
      <c r="O145" s="10"/>
      <c r="P145" s="11"/>
      <c r="Q145" s="9"/>
      <c r="R145" s="12" t="str">
        <f aca="false">IF(AND(ISNUMBER(K145),ISNUMBER(Q145),K145&gt;0),Q145/K145,"")</f>
        <v/>
      </c>
      <c r="S145" s="11"/>
      <c r="T145" s="9"/>
      <c r="U145" s="10"/>
      <c r="V145" s="11"/>
      <c r="W145" s="11"/>
      <c r="X145" s="11"/>
      <c r="Y145" s="12" t="str">
        <f aca="false">IF(COUNT(V145:X145)=0,"",MAX(0,1-SUM(V145:X145)))</f>
        <v/>
      </c>
      <c r="Z145" s="13"/>
      <c r="AA145" s="9"/>
      <c r="AB145" s="7"/>
      <c r="AC145" s="7"/>
      <c r="AD145" s="7"/>
      <c r="AE145" s="7"/>
      <c r="AF145" s="14" t="str">
        <f aca="false">IF(D145="","",COUNTIF($D$2:D145,D145))</f>
        <v/>
      </c>
      <c r="AG145" s="15" t="str">
        <f aca="false" t="array" ref="AG145:AG145">IF(D145="","",IFERROR(MEDIAN(IF(($D$2:$D$401=D145)*($AF$2:$AF$401&gt;=AF145-5)*($AF$2:$AF$401&lt;=AF145-1)*($M$2:$M$401&lt;&gt;""),$M$2:$M$401)),""))</f>
        <v/>
      </c>
      <c r="AH145" s="16" t="str">
        <f aca="false">IF(AND(ISNUMBER(M145),ISNUMBER(AG145)),IF(AG145&gt;0,M145/AG145,""),"")</f>
        <v/>
      </c>
      <c r="AI145" s="15" t="str">
        <f aca="false" t="array" ref="AI145:AI145">IF(D145="","",IFERROR(MEDIAN(IF(($D$2:$D$401=D145)*($AF$2:$AF$401&gt;=AF145-5)*($AF$2:$AF$401&lt;=AF145-1)*($N$2:$N$401&lt;&gt;""),$N$2:$N$401)),""))</f>
        <v/>
      </c>
      <c r="AJ145" s="16" t="str">
        <f aca="false">IF(AND(ISNUMBER(N145),ISNUMBER(AI145)),IF(AI145&gt;0,N145/AI145,""),"")</f>
        <v/>
      </c>
      <c r="AK145" s="12" t="str">
        <f aca="false" t="array" ref="AK145:AK145">IF(D145="","",IFERROR(MEDIAN(IF(($D$2:$D$401=D145)*ISNUMBER($R$2:$R$401),$R$2:$R$401)),""))</f>
        <v/>
      </c>
      <c r="AL145" s="17" t="str">
        <f aca="false">IF(ISNUMBER(AJ145),IF(AND(AJ145&gt;=Resumen!$C$5,OR(NOT(ISNUMBER(R145)),NOT(ISNUMBER(AK145)),R145&gt;=AK145)),"Ganador",IF(AJ145&lt;=Resumen!$C$6,"Perdedor","Normal")),IF(ISNUMBER(AH145),IF(AH145&gt;=Resumen!$C$5,"Ganador (7 d, provisional)",IF(AH145&lt;=Resumen!$C$6,"Perdedor (7 d, provisional)","Normal (7 d, provisional)")),""))</f>
        <v/>
      </c>
      <c r="AM145" s="18" t="str">
        <f aca="false">IF(AND(ISNUMBER(Z145),ISNUMBER(N145)),IF(N145&gt;0,Z145/N145*1000,""),"")</f>
        <v/>
      </c>
      <c r="AN145" s="19" t="str">
        <f aca="false">IF(AND(ISNUMBER(U145),ISNUMBER(N145)),IF(N145&gt;0,U145/N145*1000,""),"")</f>
        <v/>
      </c>
    </row>
    <row r="146" customFormat="false" ht="15" hidden="false" customHeight="false" outlineLevel="0" collapsed="false">
      <c r="A146" s="7"/>
      <c r="B146" s="7"/>
      <c r="C146" s="8"/>
      <c r="D146" s="7"/>
      <c r="E146" s="7"/>
      <c r="F146" s="7"/>
      <c r="G146" s="7"/>
      <c r="H146" s="7"/>
      <c r="I146" s="7"/>
      <c r="J146" s="7"/>
      <c r="K146" s="9"/>
      <c r="L146" s="10"/>
      <c r="M146" s="10"/>
      <c r="N146" s="10"/>
      <c r="O146" s="10"/>
      <c r="P146" s="11"/>
      <c r="Q146" s="9"/>
      <c r="R146" s="12" t="str">
        <f aca="false">IF(AND(ISNUMBER(K146),ISNUMBER(Q146),K146&gt;0),Q146/K146,"")</f>
        <v/>
      </c>
      <c r="S146" s="11"/>
      <c r="T146" s="9"/>
      <c r="U146" s="10"/>
      <c r="V146" s="11"/>
      <c r="W146" s="11"/>
      <c r="X146" s="11"/>
      <c r="Y146" s="12" t="str">
        <f aca="false">IF(COUNT(V146:X146)=0,"",MAX(0,1-SUM(V146:X146)))</f>
        <v/>
      </c>
      <c r="Z146" s="13"/>
      <c r="AA146" s="9"/>
      <c r="AB146" s="7"/>
      <c r="AC146" s="7"/>
      <c r="AD146" s="7"/>
      <c r="AE146" s="7"/>
      <c r="AF146" s="14" t="str">
        <f aca="false">IF(D146="","",COUNTIF($D$2:D146,D146))</f>
        <v/>
      </c>
      <c r="AG146" s="15" t="str">
        <f aca="false" t="array" ref="AG146:AG146">IF(D146="","",IFERROR(MEDIAN(IF(($D$2:$D$401=D146)*($AF$2:$AF$401&gt;=AF146-5)*($AF$2:$AF$401&lt;=AF146-1)*($M$2:$M$401&lt;&gt;""),$M$2:$M$401)),""))</f>
        <v/>
      </c>
      <c r="AH146" s="16" t="str">
        <f aca="false">IF(AND(ISNUMBER(M146),ISNUMBER(AG146)),IF(AG146&gt;0,M146/AG146,""),"")</f>
        <v/>
      </c>
      <c r="AI146" s="15" t="str">
        <f aca="false" t="array" ref="AI146:AI146">IF(D146="","",IFERROR(MEDIAN(IF(($D$2:$D$401=D146)*($AF$2:$AF$401&gt;=AF146-5)*($AF$2:$AF$401&lt;=AF146-1)*($N$2:$N$401&lt;&gt;""),$N$2:$N$401)),""))</f>
        <v/>
      </c>
      <c r="AJ146" s="16" t="str">
        <f aca="false">IF(AND(ISNUMBER(N146),ISNUMBER(AI146)),IF(AI146&gt;0,N146/AI146,""),"")</f>
        <v/>
      </c>
      <c r="AK146" s="12" t="str">
        <f aca="false" t="array" ref="AK146:AK146">IF(D146="","",IFERROR(MEDIAN(IF(($D$2:$D$401=D146)*ISNUMBER($R$2:$R$401),$R$2:$R$401)),""))</f>
        <v/>
      </c>
      <c r="AL146" s="17" t="str">
        <f aca="false">IF(ISNUMBER(AJ146),IF(AND(AJ146&gt;=Resumen!$C$5,OR(NOT(ISNUMBER(R146)),NOT(ISNUMBER(AK146)),R146&gt;=AK146)),"Ganador",IF(AJ146&lt;=Resumen!$C$6,"Perdedor","Normal")),IF(ISNUMBER(AH146),IF(AH146&gt;=Resumen!$C$5,"Ganador (7 d, provisional)",IF(AH146&lt;=Resumen!$C$6,"Perdedor (7 d, provisional)","Normal (7 d, provisional)")),""))</f>
        <v/>
      </c>
      <c r="AM146" s="18" t="str">
        <f aca="false">IF(AND(ISNUMBER(Z146),ISNUMBER(N146)),IF(N146&gt;0,Z146/N146*1000,""),"")</f>
        <v/>
      </c>
      <c r="AN146" s="19" t="str">
        <f aca="false">IF(AND(ISNUMBER(U146),ISNUMBER(N146)),IF(N146&gt;0,U146/N146*1000,""),"")</f>
        <v/>
      </c>
    </row>
    <row r="147" customFormat="false" ht="15" hidden="false" customHeight="false" outlineLevel="0" collapsed="false">
      <c r="A147" s="7"/>
      <c r="B147" s="7"/>
      <c r="C147" s="8"/>
      <c r="D147" s="7"/>
      <c r="E147" s="7"/>
      <c r="F147" s="7"/>
      <c r="G147" s="7"/>
      <c r="H147" s="7"/>
      <c r="I147" s="7"/>
      <c r="J147" s="7"/>
      <c r="K147" s="9"/>
      <c r="L147" s="10"/>
      <c r="M147" s="10"/>
      <c r="N147" s="10"/>
      <c r="O147" s="10"/>
      <c r="P147" s="11"/>
      <c r="Q147" s="9"/>
      <c r="R147" s="12" t="str">
        <f aca="false">IF(AND(ISNUMBER(K147),ISNUMBER(Q147),K147&gt;0),Q147/K147,"")</f>
        <v/>
      </c>
      <c r="S147" s="11"/>
      <c r="T147" s="9"/>
      <c r="U147" s="10"/>
      <c r="V147" s="11"/>
      <c r="W147" s="11"/>
      <c r="X147" s="11"/>
      <c r="Y147" s="12" t="str">
        <f aca="false">IF(COUNT(V147:X147)=0,"",MAX(0,1-SUM(V147:X147)))</f>
        <v/>
      </c>
      <c r="Z147" s="13"/>
      <c r="AA147" s="9"/>
      <c r="AB147" s="7"/>
      <c r="AC147" s="7"/>
      <c r="AD147" s="7"/>
      <c r="AE147" s="7"/>
      <c r="AF147" s="14" t="str">
        <f aca="false">IF(D147="","",COUNTIF($D$2:D147,D147))</f>
        <v/>
      </c>
      <c r="AG147" s="15" t="str">
        <f aca="false" t="array" ref="AG147:AG147">IF(D147="","",IFERROR(MEDIAN(IF(($D$2:$D$401=D147)*($AF$2:$AF$401&gt;=AF147-5)*($AF$2:$AF$401&lt;=AF147-1)*($M$2:$M$401&lt;&gt;""),$M$2:$M$401)),""))</f>
        <v/>
      </c>
      <c r="AH147" s="16" t="str">
        <f aca="false">IF(AND(ISNUMBER(M147),ISNUMBER(AG147)),IF(AG147&gt;0,M147/AG147,""),"")</f>
        <v/>
      </c>
      <c r="AI147" s="15" t="str">
        <f aca="false" t="array" ref="AI147:AI147">IF(D147="","",IFERROR(MEDIAN(IF(($D$2:$D$401=D147)*($AF$2:$AF$401&gt;=AF147-5)*($AF$2:$AF$401&lt;=AF147-1)*($N$2:$N$401&lt;&gt;""),$N$2:$N$401)),""))</f>
        <v/>
      </c>
      <c r="AJ147" s="16" t="str">
        <f aca="false">IF(AND(ISNUMBER(N147),ISNUMBER(AI147)),IF(AI147&gt;0,N147/AI147,""),"")</f>
        <v/>
      </c>
      <c r="AK147" s="12" t="str">
        <f aca="false" t="array" ref="AK147:AK147">IF(D147="","",IFERROR(MEDIAN(IF(($D$2:$D$401=D147)*ISNUMBER($R$2:$R$401),$R$2:$R$401)),""))</f>
        <v/>
      </c>
      <c r="AL147" s="17" t="str">
        <f aca="false">IF(ISNUMBER(AJ147),IF(AND(AJ147&gt;=Resumen!$C$5,OR(NOT(ISNUMBER(R147)),NOT(ISNUMBER(AK147)),R147&gt;=AK147)),"Ganador",IF(AJ147&lt;=Resumen!$C$6,"Perdedor","Normal")),IF(ISNUMBER(AH147),IF(AH147&gt;=Resumen!$C$5,"Ganador (7 d, provisional)",IF(AH147&lt;=Resumen!$C$6,"Perdedor (7 d, provisional)","Normal (7 d, provisional)")),""))</f>
        <v/>
      </c>
      <c r="AM147" s="18" t="str">
        <f aca="false">IF(AND(ISNUMBER(Z147),ISNUMBER(N147)),IF(N147&gt;0,Z147/N147*1000,""),"")</f>
        <v/>
      </c>
      <c r="AN147" s="19" t="str">
        <f aca="false">IF(AND(ISNUMBER(U147),ISNUMBER(N147)),IF(N147&gt;0,U147/N147*1000,""),"")</f>
        <v/>
      </c>
    </row>
    <row r="148" customFormat="false" ht="15" hidden="false" customHeight="false" outlineLevel="0" collapsed="false">
      <c r="A148" s="7"/>
      <c r="B148" s="7"/>
      <c r="C148" s="8"/>
      <c r="D148" s="7"/>
      <c r="E148" s="7"/>
      <c r="F148" s="7"/>
      <c r="G148" s="7"/>
      <c r="H148" s="7"/>
      <c r="I148" s="7"/>
      <c r="J148" s="7"/>
      <c r="K148" s="9"/>
      <c r="L148" s="10"/>
      <c r="M148" s="10"/>
      <c r="N148" s="10"/>
      <c r="O148" s="10"/>
      <c r="P148" s="11"/>
      <c r="Q148" s="9"/>
      <c r="R148" s="12" t="str">
        <f aca="false">IF(AND(ISNUMBER(K148),ISNUMBER(Q148),K148&gt;0),Q148/K148,"")</f>
        <v/>
      </c>
      <c r="S148" s="11"/>
      <c r="T148" s="9"/>
      <c r="U148" s="10"/>
      <c r="V148" s="11"/>
      <c r="W148" s="11"/>
      <c r="X148" s="11"/>
      <c r="Y148" s="12" t="str">
        <f aca="false">IF(COUNT(V148:X148)=0,"",MAX(0,1-SUM(V148:X148)))</f>
        <v/>
      </c>
      <c r="Z148" s="13"/>
      <c r="AA148" s="9"/>
      <c r="AB148" s="7"/>
      <c r="AC148" s="7"/>
      <c r="AD148" s="7"/>
      <c r="AE148" s="7"/>
      <c r="AF148" s="14" t="str">
        <f aca="false">IF(D148="","",COUNTIF($D$2:D148,D148))</f>
        <v/>
      </c>
      <c r="AG148" s="15" t="str">
        <f aca="false" t="array" ref="AG148:AG148">IF(D148="","",IFERROR(MEDIAN(IF(($D$2:$D$401=D148)*($AF$2:$AF$401&gt;=AF148-5)*($AF$2:$AF$401&lt;=AF148-1)*($M$2:$M$401&lt;&gt;""),$M$2:$M$401)),""))</f>
        <v/>
      </c>
      <c r="AH148" s="16" t="str">
        <f aca="false">IF(AND(ISNUMBER(M148),ISNUMBER(AG148)),IF(AG148&gt;0,M148/AG148,""),"")</f>
        <v/>
      </c>
      <c r="AI148" s="15" t="str">
        <f aca="false" t="array" ref="AI148:AI148">IF(D148="","",IFERROR(MEDIAN(IF(($D$2:$D$401=D148)*($AF$2:$AF$401&gt;=AF148-5)*($AF$2:$AF$401&lt;=AF148-1)*($N$2:$N$401&lt;&gt;""),$N$2:$N$401)),""))</f>
        <v/>
      </c>
      <c r="AJ148" s="16" t="str">
        <f aca="false">IF(AND(ISNUMBER(N148),ISNUMBER(AI148)),IF(AI148&gt;0,N148/AI148,""),"")</f>
        <v/>
      </c>
      <c r="AK148" s="12" t="str">
        <f aca="false" t="array" ref="AK148:AK148">IF(D148="","",IFERROR(MEDIAN(IF(($D$2:$D$401=D148)*ISNUMBER($R$2:$R$401),$R$2:$R$401)),""))</f>
        <v/>
      </c>
      <c r="AL148" s="17" t="str">
        <f aca="false">IF(ISNUMBER(AJ148),IF(AND(AJ148&gt;=Resumen!$C$5,OR(NOT(ISNUMBER(R148)),NOT(ISNUMBER(AK148)),R148&gt;=AK148)),"Ganador",IF(AJ148&lt;=Resumen!$C$6,"Perdedor","Normal")),IF(ISNUMBER(AH148),IF(AH148&gt;=Resumen!$C$5,"Ganador (7 d, provisional)",IF(AH148&lt;=Resumen!$C$6,"Perdedor (7 d, provisional)","Normal (7 d, provisional)")),""))</f>
        <v/>
      </c>
      <c r="AM148" s="18" t="str">
        <f aca="false">IF(AND(ISNUMBER(Z148),ISNUMBER(N148)),IF(N148&gt;0,Z148/N148*1000,""),"")</f>
        <v/>
      </c>
      <c r="AN148" s="19" t="str">
        <f aca="false">IF(AND(ISNUMBER(U148),ISNUMBER(N148)),IF(N148&gt;0,U148/N148*1000,""),"")</f>
        <v/>
      </c>
    </row>
    <row r="149" customFormat="false" ht="15" hidden="false" customHeight="false" outlineLevel="0" collapsed="false">
      <c r="A149" s="7"/>
      <c r="B149" s="7"/>
      <c r="C149" s="8"/>
      <c r="D149" s="7"/>
      <c r="E149" s="7"/>
      <c r="F149" s="7"/>
      <c r="G149" s="7"/>
      <c r="H149" s="7"/>
      <c r="I149" s="7"/>
      <c r="J149" s="7"/>
      <c r="K149" s="9"/>
      <c r="L149" s="10"/>
      <c r="M149" s="10"/>
      <c r="N149" s="10"/>
      <c r="O149" s="10"/>
      <c r="P149" s="11"/>
      <c r="Q149" s="9"/>
      <c r="R149" s="12" t="str">
        <f aca="false">IF(AND(ISNUMBER(K149),ISNUMBER(Q149),K149&gt;0),Q149/K149,"")</f>
        <v/>
      </c>
      <c r="S149" s="11"/>
      <c r="T149" s="9"/>
      <c r="U149" s="10"/>
      <c r="V149" s="11"/>
      <c r="W149" s="11"/>
      <c r="X149" s="11"/>
      <c r="Y149" s="12" t="str">
        <f aca="false">IF(COUNT(V149:X149)=0,"",MAX(0,1-SUM(V149:X149)))</f>
        <v/>
      </c>
      <c r="Z149" s="13"/>
      <c r="AA149" s="9"/>
      <c r="AB149" s="7"/>
      <c r="AC149" s="7"/>
      <c r="AD149" s="7"/>
      <c r="AE149" s="7"/>
      <c r="AF149" s="14" t="str">
        <f aca="false">IF(D149="","",COUNTIF($D$2:D149,D149))</f>
        <v/>
      </c>
      <c r="AG149" s="15" t="str">
        <f aca="false" t="array" ref="AG149:AG149">IF(D149="","",IFERROR(MEDIAN(IF(($D$2:$D$401=D149)*($AF$2:$AF$401&gt;=AF149-5)*($AF$2:$AF$401&lt;=AF149-1)*($M$2:$M$401&lt;&gt;""),$M$2:$M$401)),""))</f>
        <v/>
      </c>
      <c r="AH149" s="16" t="str">
        <f aca="false">IF(AND(ISNUMBER(M149),ISNUMBER(AG149)),IF(AG149&gt;0,M149/AG149,""),"")</f>
        <v/>
      </c>
      <c r="AI149" s="15" t="str">
        <f aca="false" t="array" ref="AI149:AI149">IF(D149="","",IFERROR(MEDIAN(IF(($D$2:$D$401=D149)*($AF$2:$AF$401&gt;=AF149-5)*($AF$2:$AF$401&lt;=AF149-1)*($N$2:$N$401&lt;&gt;""),$N$2:$N$401)),""))</f>
        <v/>
      </c>
      <c r="AJ149" s="16" t="str">
        <f aca="false">IF(AND(ISNUMBER(N149),ISNUMBER(AI149)),IF(AI149&gt;0,N149/AI149,""),"")</f>
        <v/>
      </c>
      <c r="AK149" s="12" t="str">
        <f aca="false" t="array" ref="AK149:AK149">IF(D149="","",IFERROR(MEDIAN(IF(($D$2:$D$401=D149)*ISNUMBER($R$2:$R$401),$R$2:$R$401)),""))</f>
        <v/>
      </c>
      <c r="AL149" s="17" t="str">
        <f aca="false">IF(ISNUMBER(AJ149),IF(AND(AJ149&gt;=Resumen!$C$5,OR(NOT(ISNUMBER(R149)),NOT(ISNUMBER(AK149)),R149&gt;=AK149)),"Ganador",IF(AJ149&lt;=Resumen!$C$6,"Perdedor","Normal")),IF(ISNUMBER(AH149),IF(AH149&gt;=Resumen!$C$5,"Ganador (7 d, provisional)",IF(AH149&lt;=Resumen!$C$6,"Perdedor (7 d, provisional)","Normal (7 d, provisional)")),""))</f>
        <v/>
      </c>
      <c r="AM149" s="18" t="str">
        <f aca="false">IF(AND(ISNUMBER(Z149),ISNUMBER(N149)),IF(N149&gt;0,Z149/N149*1000,""),"")</f>
        <v/>
      </c>
      <c r="AN149" s="19" t="str">
        <f aca="false">IF(AND(ISNUMBER(U149),ISNUMBER(N149)),IF(N149&gt;0,U149/N149*1000,""),"")</f>
        <v/>
      </c>
    </row>
    <row r="150" customFormat="false" ht="15" hidden="false" customHeight="false" outlineLevel="0" collapsed="false">
      <c r="A150" s="7"/>
      <c r="B150" s="7"/>
      <c r="C150" s="8"/>
      <c r="D150" s="7"/>
      <c r="E150" s="7"/>
      <c r="F150" s="7"/>
      <c r="G150" s="7"/>
      <c r="H150" s="7"/>
      <c r="I150" s="7"/>
      <c r="J150" s="7"/>
      <c r="K150" s="9"/>
      <c r="L150" s="10"/>
      <c r="M150" s="10"/>
      <c r="N150" s="10"/>
      <c r="O150" s="10"/>
      <c r="P150" s="11"/>
      <c r="Q150" s="9"/>
      <c r="R150" s="12" t="str">
        <f aca="false">IF(AND(ISNUMBER(K150),ISNUMBER(Q150),K150&gt;0),Q150/K150,"")</f>
        <v/>
      </c>
      <c r="S150" s="11"/>
      <c r="T150" s="9"/>
      <c r="U150" s="10"/>
      <c r="V150" s="11"/>
      <c r="W150" s="11"/>
      <c r="X150" s="11"/>
      <c r="Y150" s="12" t="str">
        <f aca="false">IF(COUNT(V150:X150)=0,"",MAX(0,1-SUM(V150:X150)))</f>
        <v/>
      </c>
      <c r="Z150" s="13"/>
      <c r="AA150" s="9"/>
      <c r="AB150" s="7"/>
      <c r="AC150" s="7"/>
      <c r="AD150" s="7"/>
      <c r="AE150" s="7"/>
      <c r="AF150" s="14" t="str">
        <f aca="false">IF(D150="","",COUNTIF($D$2:D150,D150))</f>
        <v/>
      </c>
      <c r="AG150" s="15" t="str">
        <f aca="false" t="array" ref="AG150:AG150">IF(D150="","",IFERROR(MEDIAN(IF(($D$2:$D$401=D150)*($AF$2:$AF$401&gt;=AF150-5)*($AF$2:$AF$401&lt;=AF150-1)*($M$2:$M$401&lt;&gt;""),$M$2:$M$401)),""))</f>
        <v/>
      </c>
      <c r="AH150" s="16" t="str">
        <f aca="false">IF(AND(ISNUMBER(M150),ISNUMBER(AG150)),IF(AG150&gt;0,M150/AG150,""),"")</f>
        <v/>
      </c>
      <c r="AI150" s="15" t="str">
        <f aca="false" t="array" ref="AI150:AI150">IF(D150="","",IFERROR(MEDIAN(IF(($D$2:$D$401=D150)*($AF$2:$AF$401&gt;=AF150-5)*($AF$2:$AF$401&lt;=AF150-1)*($N$2:$N$401&lt;&gt;""),$N$2:$N$401)),""))</f>
        <v/>
      </c>
      <c r="AJ150" s="16" t="str">
        <f aca="false">IF(AND(ISNUMBER(N150),ISNUMBER(AI150)),IF(AI150&gt;0,N150/AI150,""),"")</f>
        <v/>
      </c>
      <c r="AK150" s="12" t="str">
        <f aca="false" t="array" ref="AK150:AK150">IF(D150="","",IFERROR(MEDIAN(IF(($D$2:$D$401=D150)*ISNUMBER($R$2:$R$401),$R$2:$R$401)),""))</f>
        <v/>
      </c>
      <c r="AL150" s="17" t="str">
        <f aca="false">IF(ISNUMBER(AJ150),IF(AND(AJ150&gt;=Resumen!$C$5,OR(NOT(ISNUMBER(R150)),NOT(ISNUMBER(AK150)),R150&gt;=AK150)),"Ganador",IF(AJ150&lt;=Resumen!$C$6,"Perdedor","Normal")),IF(ISNUMBER(AH150),IF(AH150&gt;=Resumen!$C$5,"Ganador (7 d, provisional)",IF(AH150&lt;=Resumen!$C$6,"Perdedor (7 d, provisional)","Normal (7 d, provisional)")),""))</f>
        <v/>
      </c>
      <c r="AM150" s="18" t="str">
        <f aca="false">IF(AND(ISNUMBER(Z150),ISNUMBER(N150)),IF(N150&gt;0,Z150/N150*1000,""),"")</f>
        <v/>
      </c>
      <c r="AN150" s="19" t="str">
        <f aca="false">IF(AND(ISNUMBER(U150),ISNUMBER(N150)),IF(N150&gt;0,U150/N150*1000,""),"")</f>
        <v/>
      </c>
    </row>
    <row r="151" customFormat="false" ht="15" hidden="false" customHeight="false" outlineLevel="0" collapsed="false">
      <c r="A151" s="7"/>
      <c r="B151" s="7"/>
      <c r="C151" s="8"/>
      <c r="D151" s="7"/>
      <c r="E151" s="7"/>
      <c r="F151" s="7"/>
      <c r="G151" s="7"/>
      <c r="H151" s="7"/>
      <c r="I151" s="7"/>
      <c r="J151" s="7"/>
      <c r="K151" s="9"/>
      <c r="L151" s="10"/>
      <c r="M151" s="10"/>
      <c r="N151" s="10"/>
      <c r="O151" s="10"/>
      <c r="P151" s="11"/>
      <c r="Q151" s="9"/>
      <c r="R151" s="12" t="str">
        <f aca="false">IF(AND(ISNUMBER(K151),ISNUMBER(Q151),K151&gt;0),Q151/K151,"")</f>
        <v/>
      </c>
      <c r="S151" s="11"/>
      <c r="T151" s="9"/>
      <c r="U151" s="10"/>
      <c r="V151" s="11"/>
      <c r="W151" s="11"/>
      <c r="X151" s="11"/>
      <c r="Y151" s="12" t="str">
        <f aca="false">IF(COUNT(V151:X151)=0,"",MAX(0,1-SUM(V151:X151)))</f>
        <v/>
      </c>
      <c r="Z151" s="13"/>
      <c r="AA151" s="9"/>
      <c r="AB151" s="7"/>
      <c r="AC151" s="7"/>
      <c r="AD151" s="7"/>
      <c r="AE151" s="7"/>
      <c r="AF151" s="14" t="str">
        <f aca="false">IF(D151="","",COUNTIF($D$2:D151,D151))</f>
        <v/>
      </c>
      <c r="AG151" s="15" t="str">
        <f aca="false" t="array" ref="AG151:AG151">IF(D151="","",IFERROR(MEDIAN(IF(($D$2:$D$401=D151)*($AF$2:$AF$401&gt;=AF151-5)*($AF$2:$AF$401&lt;=AF151-1)*($M$2:$M$401&lt;&gt;""),$M$2:$M$401)),""))</f>
        <v/>
      </c>
      <c r="AH151" s="16" t="str">
        <f aca="false">IF(AND(ISNUMBER(M151),ISNUMBER(AG151)),IF(AG151&gt;0,M151/AG151,""),"")</f>
        <v/>
      </c>
      <c r="AI151" s="15" t="str">
        <f aca="false" t="array" ref="AI151:AI151">IF(D151="","",IFERROR(MEDIAN(IF(($D$2:$D$401=D151)*($AF$2:$AF$401&gt;=AF151-5)*($AF$2:$AF$401&lt;=AF151-1)*($N$2:$N$401&lt;&gt;""),$N$2:$N$401)),""))</f>
        <v/>
      </c>
      <c r="AJ151" s="16" t="str">
        <f aca="false">IF(AND(ISNUMBER(N151),ISNUMBER(AI151)),IF(AI151&gt;0,N151/AI151,""),"")</f>
        <v/>
      </c>
      <c r="AK151" s="12" t="str">
        <f aca="false" t="array" ref="AK151:AK151">IF(D151="","",IFERROR(MEDIAN(IF(($D$2:$D$401=D151)*ISNUMBER($R$2:$R$401),$R$2:$R$401)),""))</f>
        <v/>
      </c>
      <c r="AL151" s="17" t="str">
        <f aca="false">IF(ISNUMBER(AJ151),IF(AND(AJ151&gt;=Resumen!$C$5,OR(NOT(ISNUMBER(R151)),NOT(ISNUMBER(AK151)),R151&gt;=AK151)),"Ganador",IF(AJ151&lt;=Resumen!$C$6,"Perdedor","Normal")),IF(ISNUMBER(AH151),IF(AH151&gt;=Resumen!$C$5,"Ganador (7 d, provisional)",IF(AH151&lt;=Resumen!$C$6,"Perdedor (7 d, provisional)","Normal (7 d, provisional)")),""))</f>
        <v/>
      </c>
      <c r="AM151" s="18" t="str">
        <f aca="false">IF(AND(ISNUMBER(Z151),ISNUMBER(N151)),IF(N151&gt;0,Z151/N151*1000,""),"")</f>
        <v/>
      </c>
      <c r="AN151" s="19" t="str">
        <f aca="false">IF(AND(ISNUMBER(U151),ISNUMBER(N151)),IF(N151&gt;0,U151/N151*1000,""),"")</f>
        <v/>
      </c>
    </row>
    <row r="152" customFormat="false" ht="15" hidden="false" customHeight="false" outlineLevel="0" collapsed="false">
      <c r="A152" s="7"/>
      <c r="B152" s="7"/>
      <c r="C152" s="8"/>
      <c r="D152" s="7"/>
      <c r="E152" s="7"/>
      <c r="F152" s="7"/>
      <c r="G152" s="7"/>
      <c r="H152" s="7"/>
      <c r="I152" s="7"/>
      <c r="J152" s="7"/>
      <c r="K152" s="9"/>
      <c r="L152" s="10"/>
      <c r="M152" s="10"/>
      <c r="N152" s="10"/>
      <c r="O152" s="10"/>
      <c r="P152" s="11"/>
      <c r="Q152" s="9"/>
      <c r="R152" s="12" t="str">
        <f aca="false">IF(AND(ISNUMBER(K152),ISNUMBER(Q152),K152&gt;0),Q152/K152,"")</f>
        <v/>
      </c>
      <c r="S152" s="11"/>
      <c r="T152" s="9"/>
      <c r="U152" s="10"/>
      <c r="V152" s="11"/>
      <c r="W152" s="11"/>
      <c r="X152" s="11"/>
      <c r="Y152" s="12" t="str">
        <f aca="false">IF(COUNT(V152:X152)=0,"",MAX(0,1-SUM(V152:X152)))</f>
        <v/>
      </c>
      <c r="Z152" s="13"/>
      <c r="AA152" s="9"/>
      <c r="AB152" s="7"/>
      <c r="AC152" s="7"/>
      <c r="AD152" s="7"/>
      <c r="AE152" s="7"/>
      <c r="AF152" s="14" t="str">
        <f aca="false">IF(D152="","",COUNTIF($D$2:D152,D152))</f>
        <v/>
      </c>
      <c r="AG152" s="15" t="str">
        <f aca="false" t="array" ref="AG152:AG152">IF(D152="","",IFERROR(MEDIAN(IF(($D$2:$D$401=D152)*($AF$2:$AF$401&gt;=AF152-5)*($AF$2:$AF$401&lt;=AF152-1)*($M$2:$M$401&lt;&gt;""),$M$2:$M$401)),""))</f>
        <v/>
      </c>
      <c r="AH152" s="16" t="str">
        <f aca="false">IF(AND(ISNUMBER(M152),ISNUMBER(AG152)),IF(AG152&gt;0,M152/AG152,""),"")</f>
        <v/>
      </c>
      <c r="AI152" s="15" t="str">
        <f aca="false" t="array" ref="AI152:AI152">IF(D152="","",IFERROR(MEDIAN(IF(($D$2:$D$401=D152)*($AF$2:$AF$401&gt;=AF152-5)*($AF$2:$AF$401&lt;=AF152-1)*($N$2:$N$401&lt;&gt;""),$N$2:$N$401)),""))</f>
        <v/>
      </c>
      <c r="AJ152" s="16" t="str">
        <f aca="false">IF(AND(ISNUMBER(N152),ISNUMBER(AI152)),IF(AI152&gt;0,N152/AI152,""),"")</f>
        <v/>
      </c>
      <c r="AK152" s="12" t="str">
        <f aca="false" t="array" ref="AK152:AK152">IF(D152="","",IFERROR(MEDIAN(IF(($D$2:$D$401=D152)*ISNUMBER($R$2:$R$401),$R$2:$R$401)),""))</f>
        <v/>
      </c>
      <c r="AL152" s="17" t="str">
        <f aca="false">IF(ISNUMBER(AJ152),IF(AND(AJ152&gt;=Resumen!$C$5,OR(NOT(ISNUMBER(R152)),NOT(ISNUMBER(AK152)),R152&gt;=AK152)),"Ganador",IF(AJ152&lt;=Resumen!$C$6,"Perdedor","Normal")),IF(ISNUMBER(AH152),IF(AH152&gt;=Resumen!$C$5,"Ganador (7 d, provisional)",IF(AH152&lt;=Resumen!$C$6,"Perdedor (7 d, provisional)","Normal (7 d, provisional)")),""))</f>
        <v/>
      </c>
      <c r="AM152" s="18" t="str">
        <f aca="false">IF(AND(ISNUMBER(Z152),ISNUMBER(N152)),IF(N152&gt;0,Z152/N152*1000,""),"")</f>
        <v/>
      </c>
      <c r="AN152" s="19" t="str">
        <f aca="false">IF(AND(ISNUMBER(U152),ISNUMBER(N152)),IF(N152&gt;0,U152/N152*1000,""),"")</f>
        <v/>
      </c>
    </row>
    <row r="153" customFormat="false" ht="15" hidden="false" customHeight="false" outlineLevel="0" collapsed="false">
      <c r="A153" s="7"/>
      <c r="B153" s="7"/>
      <c r="C153" s="8"/>
      <c r="D153" s="7"/>
      <c r="E153" s="7"/>
      <c r="F153" s="7"/>
      <c r="G153" s="7"/>
      <c r="H153" s="7"/>
      <c r="I153" s="7"/>
      <c r="J153" s="7"/>
      <c r="K153" s="9"/>
      <c r="L153" s="10"/>
      <c r="M153" s="10"/>
      <c r="N153" s="10"/>
      <c r="O153" s="10"/>
      <c r="P153" s="11"/>
      <c r="Q153" s="9"/>
      <c r="R153" s="12" t="str">
        <f aca="false">IF(AND(ISNUMBER(K153),ISNUMBER(Q153),K153&gt;0),Q153/K153,"")</f>
        <v/>
      </c>
      <c r="S153" s="11"/>
      <c r="T153" s="9"/>
      <c r="U153" s="10"/>
      <c r="V153" s="11"/>
      <c r="W153" s="11"/>
      <c r="X153" s="11"/>
      <c r="Y153" s="12" t="str">
        <f aca="false">IF(COUNT(V153:X153)=0,"",MAX(0,1-SUM(V153:X153)))</f>
        <v/>
      </c>
      <c r="Z153" s="13"/>
      <c r="AA153" s="9"/>
      <c r="AB153" s="7"/>
      <c r="AC153" s="7"/>
      <c r="AD153" s="7"/>
      <c r="AE153" s="7"/>
      <c r="AF153" s="14" t="str">
        <f aca="false">IF(D153="","",COUNTIF($D$2:D153,D153))</f>
        <v/>
      </c>
      <c r="AG153" s="15" t="str">
        <f aca="false" t="array" ref="AG153:AG153">IF(D153="","",IFERROR(MEDIAN(IF(($D$2:$D$401=D153)*($AF$2:$AF$401&gt;=AF153-5)*($AF$2:$AF$401&lt;=AF153-1)*($M$2:$M$401&lt;&gt;""),$M$2:$M$401)),""))</f>
        <v/>
      </c>
      <c r="AH153" s="16" t="str">
        <f aca="false">IF(AND(ISNUMBER(M153),ISNUMBER(AG153)),IF(AG153&gt;0,M153/AG153,""),"")</f>
        <v/>
      </c>
      <c r="AI153" s="15" t="str">
        <f aca="false" t="array" ref="AI153:AI153">IF(D153="","",IFERROR(MEDIAN(IF(($D$2:$D$401=D153)*($AF$2:$AF$401&gt;=AF153-5)*($AF$2:$AF$401&lt;=AF153-1)*($N$2:$N$401&lt;&gt;""),$N$2:$N$401)),""))</f>
        <v/>
      </c>
      <c r="AJ153" s="16" t="str">
        <f aca="false">IF(AND(ISNUMBER(N153),ISNUMBER(AI153)),IF(AI153&gt;0,N153/AI153,""),"")</f>
        <v/>
      </c>
      <c r="AK153" s="12" t="str">
        <f aca="false" t="array" ref="AK153:AK153">IF(D153="","",IFERROR(MEDIAN(IF(($D$2:$D$401=D153)*ISNUMBER($R$2:$R$401),$R$2:$R$401)),""))</f>
        <v/>
      </c>
      <c r="AL153" s="17" t="str">
        <f aca="false">IF(ISNUMBER(AJ153),IF(AND(AJ153&gt;=Resumen!$C$5,OR(NOT(ISNUMBER(R153)),NOT(ISNUMBER(AK153)),R153&gt;=AK153)),"Ganador",IF(AJ153&lt;=Resumen!$C$6,"Perdedor","Normal")),IF(ISNUMBER(AH153),IF(AH153&gt;=Resumen!$C$5,"Ganador (7 d, provisional)",IF(AH153&lt;=Resumen!$C$6,"Perdedor (7 d, provisional)","Normal (7 d, provisional)")),""))</f>
        <v/>
      </c>
      <c r="AM153" s="18" t="str">
        <f aca="false">IF(AND(ISNUMBER(Z153),ISNUMBER(N153)),IF(N153&gt;0,Z153/N153*1000,""),"")</f>
        <v/>
      </c>
      <c r="AN153" s="19" t="str">
        <f aca="false">IF(AND(ISNUMBER(U153),ISNUMBER(N153)),IF(N153&gt;0,U153/N153*1000,""),"")</f>
        <v/>
      </c>
    </row>
    <row r="154" customFormat="false" ht="15" hidden="false" customHeight="false" outlineLevel="0" collapsed="false">
      <c r="A154" s="7"/>
      <c r="B154" s="7"/>
      <c r="C154" s="8"/>
      <c r="D154" s="7"/>
      <c r="E154" s="7"/>
      <c r="F154" s="7"/>
      <c r="G154" s="7"/>
      <c r="H154" s="7"/>
      <c r="I154" s="7"/>
      <c r="J154" s="7"/>
      <c r="K154" s="9"/>
      <c r="L154" s="10"/>
      <c r="M154" s="10"/>
      <c r="N154" s="10"/>
      <c r="O154" s="10"/>
      <c r="P154" s="11"/>
      <c r="Q154" s="9"/>
      <c r="R154" s="12" t="str">
        <f aca="false">IF(AND(ISNUMBER(K154),ISNUMBER(Q154),K154&gt;0),Q154/K154,"")</f>
        <v/>
      </c>
      <c r="S154" s="11"/>
      <c r="T154" s="9"/>
      <c r="U154" s="10"/>
      <c r="V154" s="11"/>
      <c r="W154" s="11"/>
      <c r="X154" s="11"/>
      <c r="Y154" s="12" t="str">
        <f aca="false">IF(COUNT(V154:X154)=0,"",MAX(0,1-SUM(V154:X154)))</f>
        <v/>
      </c>
      <c r="Z154" s="13"/>
      <c r="AA154" s="9"/>
      <c r="AB154" s="7"/>
      <c r="AC154" s="7"/>
      <c r="AD154" s="7"/>
      <c r="AE154" s="7"/>
      <c r="AF154" s="14" t="str">
        <f aca="false">IF(D154="","",COUNTIF($D$2:D154,D154))</f>
        <v/>
      </c>
      <c r="AG154" s="15" t="str">
        <f aca="false" t="array" ref="AG154:AG154">IF(D154="","",IFERROR(MEDIAN(IF(($D$2:$D$401=D154)*($AF$2:$AF$401&gt;=AF154-5)*($AF$2:$AF$401&lt;=AF154-1)*($M$2:$M$401&lt;&gt;""),$M$2:$M$401)),""))</f>
        <v/>
      </c>
      <c r="AH154" s="16" t="str">
        <f aca="false">IF(AND(ISNUMBER(M154),ISNUMBER(AG154)),IF(AG154&gt;0,M154/AG154,""),"")</f>
        <v/>
      </c>
      <c r="AI154" s="15" t="str">
        <f aca="false" t="array" ref="AI154:AI154">IF(D154="","",IFERROR(MEDIAN(IF(($D$2:$D$401=D154)*($AF$2:$AF$401&gt;=AF154-5)*($AF$2:$AF$401&lt;=AF154-1)*($N$2:$N$401&lt;&gt;""),$N$2:$N$401)),""))</f>
        <v/>
      </c>
      <c r="AJ154" s="16" t="str">
        <f aca="false">IF(AND(ISNUMBER(N154),ISNUMBER(AI154)),IF(AI154&gt;0,N154/AI154,""),"")</f>
        <v/>
      </c>
      <c r="AK154" s="12" t="str">
        <f aca="false" t="array" ref="AK154:AK154">IF(D154="","",IFERROR(MEDIAN(IF(($D$2:$D$401=D154)*ISNUMBER($R$2:$R$401),$R$2:$R$401)),""))</f>
        <v/>
      </c>
      <c r="AL154" s="17" t="str">
        <f aca="false">IF(ISNUMBER(AJ154),IF(AND(AJ154&gt;=Resumen!$C$5,OR(NOT(ISNUMBER(R154)),NOT(ISNUMBER(AK154)),R154&gt;=AK154)),"Ganador",IF(AJ154&lt;=Resumen!$C$6,"Perdedor","Normal")),IF(ISNUMBER(AH154),IF(AH154&gt;=Resumen!$C$5,"Ganador (7 d, provisional)",IF(AH154&lt;=Resumen!$C$6,"Perdedor (7 d, provisional)","Normal (7 d, provisional)")),""))</f>
        <v/>
      </c>
      <c r="AM154" s="18" t="str">
        <f aca="false">IF(AND(ISNUMBER(Z154),ISNUMBER(N154)),IF(N154&gt;0,Z154/N154*1000,""),"")</f>
        <v/>
      </c>
      <c r="AN154" s="19" t="str">
        <f aca="false">IF(AND(ISNUMBER(U154),ISNUMBER(N154)),IF(N154&gt;0,U154/N154*1000,""),"")</f>
        <v/>
      </c>
    </row>
    <row r="155" customFormat="false" ht="15" hidden="false" customHeight="false" outlineLevel="0" collapsed="false">
      <c r="A155" s="7"/>
      <c r="B155" s="7"/>
      <c r="C155" s="8"/>
      <c r="D155" s="7"/>
      <c r="E155" s="7"/>
      <c r="F155" s="7"/>
      <c r="G155" s="7"/>
      <c r="H155" s="7"/>
      <c r="I155" s="7"/>
      <c r="J155" s="7"/>
      <c r="K155" s="9"/>
      <c r="L155" s="10"/>
      <c r="M155" s="10"/>
      <c r="N155" s="10"/>
      <c r="O155" s="10"/>
      <c r="P155" s="11"/>
      <c r="Q155" s="9"/>
      <c r="R155" s="12" t="str">
        <f aca="false">IF(AND(ISNUMBER(K155),ISNUMBER(Q155),K155&gt;0),Q155/K155,"")</f>
        <v/>
      </c>
      <c r="S155" s="11"/>
      <c r="T155" s="9"/>
      <c r="U155" s="10"/>
      <c r="V155" s="11"/>
      <c r="W155" s="11"/>
      <c r="X155" s="11"/>
      <c r="Y155" s="12" t="str">
        <f aca="false">IF(COUNT(V155:X155)=0,"",MAX(0,1-SUM(V155:X155)))</f>
        <v/>
      </c>
      <c r="Z155" s="13"/>
      <c r="AA155" s="9"/>
      <c r="AB155" s="7"/>
      <c r="AC155" s="7"/>
      <c r="AD155" s="7"/>
      <c r="AE155" s="7"/>
      <c r="AF155" s="14" t="str">
        <f aca="false">IF(D155="","",COUNTIF($D$2:D155,D155))</f>
        <v/>
      </c>
      <c r="AG155" s="15" t="str">
        <f aca="false" t="array" ref="AG155:AG155">IF(D155="","",IFERROR(MEDIAN(IF(($D$2:$D$401=D155)*($AF$2:$AF$401&gt;=AF155-5)*($AF$2:$AF$401&lt;=AF155-1)*($M$2:$M$401&lt;&gt;""),$M$2:$M$401)),""))</f>
        <v/>
      </c>
      <c r="AH155" s="16" t="str">
        <f aca="false">IF(AND(ISNUMBER(M155),ISNUMBER(AG155)),IF(AG155&gt;0,M155/AG155,""),"")</f>
        <v/>
      </c>
      <c r="AI155" s="15" t="str">
        <f aca="false" t="array" ref="AI155:AI155">IF(D155="","",IFERROR(MEDIAN(IF(($D$2:$D$401=D155)*($AF$2:$AF$401&gt;=AF155-5)*($AF$2:$AF$401&lt;=AF155-1)*($N$2:$N$401&lt;&gt;""),$N$2:$N$401)),""))</f>
        <v/>
      </c>
      <c r="AJ155" s="16" t="str">
        <f aca="false">IF(AND(ISNUMBER(N155),ISNUMBER(AI155)),IF(AI155&gt;0,N155/AI155,""),"")</f>
        <v/>
      </c>
      <c r="AK155" s="12" t="str">
        <f aca="false" t="array" ref="AK155:AK155">IF(D155="","",IFERROR(MEDIAN(IF(($D$2:$D$401=D155)*ISNUMBER($R$2:$R$401),$R$2:$R$401)),""))</f>
        <v/>
      </c>
      <c r="AL155" s="17" t="str">
        <f aca="false">IF(ISNUMBER(AJ155),IF(AND(AJ155&gt;=Resumen!$C$5,OR(NOT(ISNUMBER(R155)),NOT(ISNUMBER(AK155)),R155&gt;=AK155)),"Ganador",IF(AJ155&lt;=Resumen!$C$6,"Perdedor","Normal")),IF(ISNUMBER(AH155),IF(AH155&gt;=Resumen!$C$5,"Ganador (7 d, provisional)",IF(AH155&lt;=Resumen!$C$6,"Perdedor (7 d, provisional)","Normal (7 d, provisional)")),""))</f>
        <v/>
      </c>
      <c r="AM155" s="18" t="str">
        <f aca="false">IF(AND(ISNUMBER(Z155),ISNUMBER(N155)),IF(N155&gt;0,Z155/N155*1000,""),"")</f>
        <v/>
      </c>
      <c r="AN155" s="19" t="str">
        <f aca="false">IF(AND(ISNUMBER(U155),ISNUMBER(N155)),IF(N155&gt;0,U155/N155*1000,""),"")</f>
        <v/>
      </c>
    </row>
    <row r="156" customFormat="false" ht="15" hidden="false" customHeight="false" outlineLevel="0" collapsed="false">
      <c r="A156" s="7"/>
      <c r="B156" s="7"/>
      <c r="C156" s="8"/>
      <c r="D156" s="7"/>
      <c r="E156" s="7"/>
      <c r="F156" s="7"/>
      <c r="G156" s="7"/>
      <c r="H156" s="7"/>
      <c r="I156" s="7"/>
      <c r="J156" s="7"/>
      <c r="K156" s="9"/>
      <c r="L156" s="10"/>
      <c r="M156" s="10"/>
      <c r="N156" s="10"/>
      <c r="O156" s="10"/>
      <c r="P156" s="11"/>
      <c r="Q156" s="9"/>
      <c r="R156" s="12" t="str">
        <f aca="false">IF(AND(ISNUMBER(K156),ISNUMBER(Q156),K156&gt;0),Q156/K156,"")</f>
        <v/>
      </c>
      <c r="S156" s="11"/>
      <c r="T156" s="9"/>
      <c r="U156" s="10"/>
      <c r="V156" s="11"/>
      <c r="W156" s="11"/>
      <c r="X156" s="11"/>
      <c r="Y156" s="12" t="str">
        <f aca="false">IF(COUNT(V156:X156)=0,"",MAX(0,1-SUM(V156:X156)))</f>
        <v/>
      </c>
      <c r="Z156" s="13"/>
      <c r="AA156" s="9"/>
      <c r="AB156" s="7"/>
      <c r="AC156" s="7"/>
      <c r="AD156" s="7"/>
      <c r="AE156" s="7"/>
      <c r="AF156" s="14" t="str">
        <f aca="false">IF(D156="","",COUNTIF($D$2:D156,D156))</f>
        <v/>
      </c>
      <c r="AG156" s="15" t="str">
        <f aca="false" t="array" ref="AG156:AG156">IF(D156="","",IFERROR(MEDIAN(IF(($D$2:$D$401=D156)*($AF$2:$AF$401&gt;=AF156-5)*($AF$2:$AF$401&lt;=AF156-1)*($M$2:$M$401&lt;&gt;""),$M$2:$M$401)),""))</f>
        <v/>
      </c>
      <c r="AH156" s="16" t="str">
        <f aca="false">IF(AND(ISNUMBER(M156),ISNUMBER(AG156)),IF(AG156&gt;0,M156/AG156,""),"")</f>
        <v/>
      </c>
      <c r="AI156" s="15" t="str">
        <f aca="false" t="array" ref="AI156:AI156">IF(D156="","",IFERROR(MEDIAN(IF(($D$2:$D$401=D156)*($AF$2:$AF$401&gt;=AF156-5)*($AF$2:$AF$401&lt;=AF156-1)*($N$2:$N$401&lt;&gt;""),$N$2:$N$401)),""))</f>
        <v/>
      </c>
      <c r="AJ156" s="16" t="str">
        <f aca="false">IF(AND(ISNUMBER(N156),ISNUMBER(AI156)),IF(AI156&gt;0,N156/AI156,""),"")</f>
        <v/>
      </c>
      <c r="AK156" s="12" t="str">
        <f aca="false" t="array" ref="AK156:AK156">IF(D156="","",IFERROR(MEDIAN(IF(($D$2:$D$401=D156)*ISNUMBER($R$2:$R$401),$R$2:$R$401)),""))</f>
        <v/>
      </c>
      <c r="AL156" s="17" t="str">
        <f aca="false">IF(ISNUMBER(AJ156),IF(AND(AJ156&gt;=Resumen!$C$5,OR(NOT(ISNUMBER(R156)),NOT(ISNUMBER(AK156)),R156&gt;=AK156)),"Ganador",IF(AJ156&lt;=Resumen!$C$6,"Perdedor","Normal")),IF(ISNUMBER(AH156),IF(AH156&gt;=Resumen!$C$5,"Ganador (7 d, provisional)",IF(AH156&lt;=Resumen!$C$6,"Perdedor (7 d, provisional)","Normal (7 d, provisional)")),""))</f>
        <v/>
      </c>
      <c r="AM156" s="18" t="str">
        <f aca="false">IF(AND(ISNUMBER(Z156),ISNUMBER(N156)),IF(N156&gt;0,Z156/N156*1000,""),"")</f>
        <v/>
      </c>
      <c r="AN156" s="19" t="str">
        <f aca="false">IF(AND(ISNUMBER(U156),ISNUMBER(N156)),IF(N156&gt;0,U156/N156*1000,""),"")</f>
        <v/>
      </c>
    </row>
    <row r="157" customFormat="false" ht="15" hidden="false" customHeight="false" outlineLevel="0" collapsed="false">
      <c r="A157" s="7"/>
      <c r="B157" s="7"/>
      <c r="C157" s="8"/>
      <c r="D157" s="7"/>
      <c r="E157" s="7"/>
      <c r="F157" s="7"/>
      <c r="G157" s="7"/>
      <c r="H157" s="7"/>
      <c r="I157" s="7"/>
      <c r="J157" s="7"/>
      <c r="K157" s="9"/>
      <c r="L157" s="10"/>
      <c r="M157" s="10"/>
      <c r="N157" s="10"/>
      <c r="O157" s="10"/>
      <c r="P157" s="11"/>
      <c r="Q157" s="9"/>
      <c r="R157" s="12" t="str">
        <f aca="false">IF(AND(ISNUMBER(K157),ISNUMBER(Q157),K157&gt;0),Q157/K157,"")</f>
        <v/>
      </c>
      <c r="S157" s="11"/>
      <c r="T157" s="9"/>
      <c r="U157" s="10"/>
      <c r="V157" s="11"/>
      <c r="W157" s="11"/>
      <c r="X157" s="11"/>
      <c r="Y157" s="12" t="str">
        <f aca="false">IF(COUNT(V157:X157)=0,"",MAX(0,1-SUM(V157:X157)))</f>
        <v/>
      </c>
      <c r="Z157" s="13"/>
      <c r="AA157" s="9"/>
      <c r="AB157" s="7"/>
      <c r="AC157" s="7"/>
      <c r="AD157" s="7"/>
      <c r="AE157" s="7"/>
      <c r="AF157" s="14" t="str">
        <f aca="false">IF(D157="","",COUNTIF($D$2:D157,D157))</f>
        <v/>
      </c>
      <c r="AG157" s="15" t="str">
        <f aca="false" t="array" ref="AG157:AG157">IF(D157="","",IFERROR(MEDIAN(IF(($D$2:$D$401=D157)*($AF$2:$AF$401&gt;=AF157-5)*($AF$2:$AF$401&lt;=AF157-1)*($M$2:$M$401&lt;&gt;""),$M$2:$M$401)),""))</f>
        <v/>
      </c>
      <c r="AH157" s="16" t="str">
        <f aca="false">IF(AND(ISNUMBER(M157),ISNUMBER(AG157)),IF(AG157&gt;0,M157/AG157,""),"")</f>
        <v/>
      </c>
      <c r="AI157" s="15" t="str">
        <f aca="false" t="array" ref="AI157:AI157">IF(D157="","",IFERROR(MEDIAN(IF(($D$2:$D$401=D157)*($AF$2:$AF$401&gt;=AF157-5)*($AF$2:$AF$401&lt;=AF157-1)*($N$2:$N$401&lt;&gt;""),$N$2:$N$401)),""))</f>
        <v/>
      </c>
      <c r="AJ157" s="16" t="str">
        <f aca="false">IF(AND(ISNUMBER(N157),ISNUMBER(AI157)),IF(AI157&gt;0,N157/AI157,""),"")</f>
        <v/>
      </c>
      <c r="AK157" s="12" t="str">
        <f aca="false" t="array" ref="AK157:AK157">IF(D157="","",IFERROR(MEDIAN(IF(($D$2:$D$401=D157)*ISNUMBER($R$2:$R$401),$R$2:$R$401)),""))</f>
        <v/>
      </c>
      <c r="AL157" s="17" t="str">
        <f aca="false">IF(ISNUMBER(AJ157),IF(AND(AJ157&gt;=Resumen!$C$5,OR(NOT(ISNUMBER(R157)),NOT(ISNUMBER(AK157)),R157&gt;=AK157)),"Ganador",IF(AJ157&lt;=Resumen!$C$6,"Perdedor","Normal")),IF(ISNUMBER(AH157),IF(AH157&gt;=Resumen!$C$5,"Ganador (7 d, provisional)",IF(AH157&lt;=Resumen!$C$6,"Perdedor (7 d, provisional)","Normal (7 d, provisional)")),""))</f>
        <v/>
      </c>
      <c r="AM157" s="18" t="str">
        <f aca="false">IF(AND(ISNUMBER(Z157),ISNUMBER(N157)),IF(N157&gt;0,Z157/N157*1000,""),"")</f>
        <v/>
      </c>
      <c r="AN157" s="19" t="str">
        <f aca="false">IF(AND(ISNUMBER(U157),ISNUMBER(N157)),IF(N157&gt;0,U157/N157*1000,""),"")</f>
        <v/>
      </c>
    </row>
    <row r="158" customFormat="false" ht="15" hidden="false" customHeight="false" outlineLevel="0" collapsed="false">
      <c r="A158" s="7"/>
      <c r="B158" s="7"/>
      <c r="C158" s="8"/>
      <c r="D158" s="7"/>
      <c r="E158" s="7"/>
      <c r="F158" s="7"/>
      <c r="G158" s="7"/>
      <c r="H158" s="7"/>
      <c r="I158" s="7"/>
      <c r="J158" s="7"/>
      <c r="K158" s="9"/>
      <c r="L158" s="10"/>
      <c r="M158" s="10"/>
      <c r="N158" s="10"/>
      <c r="O158" s="10"/>
      <c r="P158" s="11"/>
      <c r="Q158" s="9"/>
      <c r="R158" s="12" t="str">
        <f aca="false">IF(AND(ISNUMBER(K158),ISNUMBER(Q158),K158&gt;0),Q158/K158,"")</f>
        <v/>
      </c>
      <c r="S158" s="11"/>
      <c r="T158" s="9"/>
      <c r="U158" s="10"/>
      <c r="V158" s="11"/>
      <c r="W158" s="11"/>
      <c r="X158" s="11"/>
      <c r="Y158" s="12" t="str">
        <f aca="false">IF(COUNT(V158:X158)=0,"",MAX(0,1-SUM(V158:X158)))</f>
        <v/>
      </c>
      <c r="Z158" s="13"/>
      <c r="AA158" s="9"/>
      <c r="AB158" s="7"/>
      <c r="AC158" s="7"/>
      <c r="AD158" s="7"/>
      <c r="AE158" s="7"/>
      <c r="AF158" s="14" t="str">
        <f aca="false">IF(D158="","",COUNTIF($D$2:D158,D158))</f>
        <v/>
      </c>
      <c r="AG158" s="15" t="str">
        <f aca="false" t="array" ref="AG158:AG158">IF(D158="","",IFERROR(MEDIAN(IF(($D$2:$D$401=D158)*($AF$2:$AF$401&gt;=AF158-5)*($AF$2:$AF$401&lt;=AF158-1)*($M$2:$M$401&lt;&gt;""),$M$2:$M$401)),""))</f>
        <v/>
      </c>
      <c r="AH158" s="16" t="str">
        <f aca="false">IF(AND(ISNUMBER(M158),ISNUMBER(AG158)),IF(AG158&gt;0,M158/AG158,""),"")</f>
        <v/>
      </c>
      <c r="AI158" s="15" t="str">
        <f aca="false" t="array" ref="AI158:AI158">IF(D158="","",IFERROR(MEDIAN(IF(($D$2:$D$401=D158)*($AF$2:$AF$401&gt;=AF158-5)*($AF$2:$AF$401&lt;=AF158-1)*($N$2:$N$401&lt;&gt;""),$N$2:$N$401)),""))</f>
        <v/>
      </c>
      <c r="AJ158" s="16" t="str">
        <f aca="false">IF(AND(ISNUMBER(N158),ISNUMBER(AI158)),IF(AI158&gt;0,N158/AI158,""),"")</f>
        <v/>
      </c>
      <c r="AK158" s="12" t="str">
        <f aca="false" t="array" ref="AK158:AK158">IF(D158="","",IFERROR(MEDIAN(IF(($D$2:$D$401=D158)*ISNUMBER($R$2:$R$401),$R$2:$R$401)),""))</f>
        <v/>
      </c>
      <c r="AL158" s="17" t="str">
        <f aca="false">IF(ISNUMBER(AJ158),IF(AND(AJ158&gt;=Resumen!$C$5,OR(NOT(ISNUMBER(R158)),NOT(ISNUMBER(AK158)),R158&gt;=AK158)),"Ganador",IF(AJ158&lt;=Resumen!$C$6,"Perdedor","Normal")),IF(ISNUMBER(AH158),IF(AH158&gt;=Resumen!$C$5,"Ganador (7 d, provisional)",IF(AH158&lt;=Resumen!$C$6,"Perdedor (7 d, provisional)","Normal (7 d, provisional)")),""))</f>
        <v/>
      </c>
      <c r="AM158" s="18" t="str">
        <f aca="false">IF(AND(ISNUMBER(Z158),ISNUMBER(N158)),IF(N158&gt;0,Z158/N158*1000,""),"")</f>
        <v/>
      </c>
      <c r="AN158" s="19" t="str">
        <f aca="false">IF(AND(ISNUMBER(U158),ISNUMBER(N158)),IF(N158&gt;0,U158/N158*1000,""),"")</f>
        <v/>
      </c>
    </row>
    <row r="159" customFormat="false" ht="15" hidden="false" customHeight="false" outlineLevel="0" collapsed="false">
      <c r="A159" s="7"/>
      <c r="B159" s="7"/>
      <c r="C159" s="8"/>
      <c r="D159" s="7"/>
      <c r="E159" s="7"/>
      <c r="F159" s="7"/>
      <c r="G159" s="7"/>
      <c r="H159" s="7"/>
      <c r="I159" s="7"/>
      <c r="J159" s="7"/>
      <c r="K159" s="9"/>
      <c r="L159" s="10"/>
      <c r="M159" s="10"/>
      <c r="N159" s="10"/>
      <c r="O159" s="10"/>
      <c r="P159" s="11"/>
      <c r="Q159" s="9"/>
      <c r="R159" s="12" t="str">
        <f aca="false">IF(AND(ISNUMBER(K159),ISNUMBER(Q159),K159&gt;0),Q159/K159,"")</f>
        <v/>
      </c>
      <c r="S159" s="11"/>
      <c r="T159" s="9"/>
      <c r="U159" s="10"/>
      <c r="V159" s="11"/>
      <c r="W159" s="11"/>
      <c r="X159" s="11"/>
      <c r="Y159" s="12" t="str">
        <f aca="false">IF(COUNT(V159:X159)=0,"",MAX(0,1-SUM(V159:X159)))</f>
        <v/>
      </c>
      <c r="Z159" s="13"/>
      <c r="AA159" s="9"/>
      <c r="AB159" s="7"/>
      <c r="AC159" s="7"/>
      <c r="AD159" s="7"/>
      <c r="AE159" s="7"/>
      <c r="AF159" s="14" t="str">
        <f aca="false">IF(D159="","",COUNTIF($D$2:D159,D159))</f>
        <v/>
      </c>
      <c r="AG159" s="15" t="str">
        <f aca="false" t="array" ref="AG159:AG159">IF(D159="","",IFERROR(MEDIAN(IF(($D$2:$D$401=D159)*($AF$2:$AF$401&gt;=AF159-5)*($AF$2:$AF$401&lt;=AF159-1)*($M$2:$M$401&lt;&gt;""),$M$2:$M$401)),""))</f>
        <v/>
      </c>
      <c r="AH159" s="16" t="str">
        <f aca="false">IF(AND(ISNUMBER(M159),ISNUMBER(AG159)),IF(AG159&gt;0,M159/AG159,""),"")</f>
        <v/>
      </c>
      <c r="AI159" s="15" t="str">
        <f aca="false" t="array" ref="AI159:AI159">IF(D159="","",IFERROR(MEDIAN(IF(($D$2:$D$401=D159)*($AF$2:$AF$401&gt;=AF159-5)*($AF$2:$AF$401&lt;=AF159-1)*($N$2:$N$401&lt;&gt;""),$N$2:$N$401)),""))</f>
        <v/>
      </c>
      <c r="AJ159" s="16" t="str">
        <f aca="false">IF(AND(ISNUMBER(N159),ISNUMBER(AI159)),IF(AI159&gt;0,N159/AI159,""),"")</f>
        <v/>
      </c>
      <c r="AK159" s="12" t="str">
        <f aca="false" t="array" ref="AK159:AK159">IF(D159="","",IFERROR(MEDIAN(IF(($D$2:$D$401=D159)*ISNUMBER($R$2:$R$401),$R$2:$R$401)),""))</f>
        <v/>
      </c>
      <c r="AL159" s="17" t="str">
        <f aca="false">IF(ISNUMBER(AJ159),IF(AND(AJ159&gt;=Resumen!$C$5,OR(NOT(ISNUMBER(R159)),NOT(ISNUMBER(AK159)),R159&gt;=AK159)),"Ganador",IF(AJ159&lt;=Resumen!$C$6,"Perdedor","Normal")),IF(ISNUMBER(AH159),IF(AH159&gt;=Resumen!$C$5,"Ganador (7 d, provisional)",IF(AH159&lt;=Resumen!$C$6,"Perdedor (7 d, provisional)","Normal (7 d, provisional)")),""))</f>
        <v/>
      </c>
      <c r="AM159" s="18" t="str">
        <f aca="false">IF(AND(ISNUMBER(Z159),ISNUMBER(N159)),IF(N159&gt;0,Z159/N159*1000,""),"")</f>
        <v/>
      </c>
      <c r="AN159" s="19" t="str">
        <f aca="false">IF(AND(ISNUMBER(U159),ISNUMBER(N159)),IF(N159&gt;0,U159/N159*1000,""),"")</f>
        <v/>
      </c>
    </row>
    <row r="160" customFormat="false" ht="15" hidden="false" customHeight="false" outlineLevel="0" collapsed="false">
      <c r="A160" s="7"/>
      <c r="B160" s="7"/>
      <c r="C160" s="8"/>
      <c r="D160" s="7"/>
      <c r="E160" s="7"/>
      <c r="F160" s="7"/>
      <c r="G160" s="7"/>
      <c r="H160" s="7"/>
      <c r="I160" s="7"/>
      <c r="J160" s="7"/>
      <c r="K160" s="9"/>
      <c r="L160" s="10"/>
      <c r="M160" s="10"/>
      <c r="N160" s="10"/>
      <c r="O160" s="10"/>
      <c r="P160" s="11"/>
      <c r="Q160" s="9"/>
      <c r="R160" s="12" t="str">
        <f aca="false">IF(AND(ISNUMBER(K160),ISNUMBER(Q160),K160&gt;0),Q160/K160,"")</f>
        <v/>
      </c>
      <c r="S160" s="11"/>
      <c r="T160" s="9"/>
      <c r="U160" s="10"/>
      <c r="V160" s="11"/>
      <c r="W160" s="11"/>
      <c r="X160" s="11"/>
      <c r="Y160" s="12" t="str">
        <f aca="false">IF(COUNT(V160:X160)=0,"",MAX(0,1-SUM(V160:X160)))</f>
        <v/>
      </c>
      <c r="Z160" s="13"/>
      <c r="AA160" s="9"/>
      <c r="AB160" s="7"/>
      <c r="AC160" s="7"/>
      <c r="AD160" s="7"/>
      <c r="AE160" s="7"/>
      <c r="AF160" s="14" t="str">
        <f aca="false">IF(D160="","",COUNTIF($D$2:D160,D160))</f>
        <v/>
      </c>
      <c r="AG160" s="15" t="str">
        <f aca="false" t="array" ref="AG160:AG160">IF(D160="","",IFERROR(MEDIAN(IF(($D$2:$D$401=D160)*($AF$2:$AF$401&gt;=AF160-5)*($AF$2:$AF$401&lt;=AF160-1)*($M$2:$M$401&lt;&gt;""),$M$2:$M$401)),""))</f>
        <v/>
      </c>
      <c r="AH160" s="16" t="str">
        <f aca="false">IF(AND(ISNUMBER(M160),ISNUMBER(AG160)),IF(AG160&gt;0,M160/AG160,""),"")</f>
        <v/>
      </c>
      <c r="AI160" s="15" t="str">
        <f aca="false" t="array" ref="AI160:AI160">IF(D160="","",IFERROR(MEDIAN(IF(($D$2:$D$401=D160)*($AF$2:$AF$401&gt;=AF160-5)*($AF$2:$AF$401&lt;=AF160-1)*($N$2:$N$401&lt;&gt;""),$N$2:$N$401)),""))</f>
        <v/>
      </c>
      <c r="AJ160" s="16" t="str">
        <f aca="false">IF(AND(ISNUMBER(N160),ISNUMBER(AI160)),IF(AI160&gt;0,N160/AI160,""),"")</f>
        <v/>
      </c>
      <c r="AK160" s="12" t="str">
        <f aca="false" t="array" ref="AK160:AK160">IF(D160="","",IFERROR(MEDIAN(IF(($D$2:$D$401=D160)*ISNUMBER($R$2:$R$401),$R$2:$R$401)),""))</f>
        <v/>
      </c>
      <c r="AL160" s="17" t="str">
        <f aca="false">IF(ISNUMBER(AJ160),IF(AND(AJ160&gt;=Resumen!$C$5,OR(NOT(ISNUMBER(R160)),NOT(ISNUMBER(AK160)),R160&gt;=AK160)),"Ganador",IF(AJ160&lt;=Resumen!$C$6,"Perdedor","Normal")),IF(ISNUMBER(AH160),IF(AH160&gt;=Resumen!$C$5,"Ganador (7 d, provisional)",IF(AH160&lt;=Resumen!$C$6,"Perdedor (7 d, provisional)","Normal (7 d, provisional)")),""))</f>
        <v/>
      </c>
      <c r="AM160" s="18" t="str">
        <f aca="false">IF(AND(ISNUMBER(Z160),ISNUMBER(N160)),IF(N160&gt;0,Z160/N160*1000,""),"")</f>
        <v/>
      </c>
      <c r="AN160" s="19" t="str">
        <f aca="false">IF(AND(ISNUMBER(U160),ISNUMBER(N160)),IF(N160&gt;0,U160/N160*1000,""),"")</f>
        <v/>
      </c>
    </row>
    <row r="161" customFormat="false" ht="15" hidden="false" customHeight="false" outlineLevel="0" collapsed="false">
      <c r="A161" s="7"/>
      <c r="B161" s="7"/>
      <c r="C161" s="8"/>
      <c r="D161" s="7"/>
      <c r="E161" s="7"/>
      <c r="F161" s="7"/>
      <c r="G161" s="7"/>
      <c r="H161" s="7"/>
      <c r="I161" s="7"/>
      <c r="J161" s="7"/>
      <c r="K161" s="9"/>
      <c r="L161" s="10"/>
      <c r="M161" s="10"/>
      <c r="N161" s="10"/>
      <c r="O161" s="10"/>
      <c r="P161" s="11"/>
      <c r="Q161" s="9"/>
      <c r="R161" s="12" t="str">
        <f aca="false">IF(AND(ISNUMBER(K161),ISNUMBER(Q161),K161&gt;0),Q161/K161,"")</f>
        <v/>
      </c>
      <c r="S161" s="11"/>
      <c r="T161" s="9"/>
      <c r="U161" s="10"/>
      <c r="V161" s="11"/>
      <c r="W161" s="11"/>
      <c r="X161" s="11"/>
      <c r="Y161" s="12" t="str">
        <f aca="false">IF(COUNT(V161:X161)=0,"",MAX(0,1-SUM(V161:X161)))</f>
        <v/>
      </c>
      <c r="Z161" s="13"/>
      <c r="AA161" s="9"/>
      <c r="AB161" s="7"/>
      <c r="AC161" s="7"/>
      <c r="AD161" s="7"/>
      <c r="AE161" s="7"/>
      <c r="AF161" s="14" t="str">
        <f aca="false">IF(D161="","",COUNTIF($D$2:D161,D161))</f>
        <v/>
      </c>
      <c r="AG161" s="15" t="str">
        <f aca="false" t="array" ref="AG161:AG161">IF(D161="","",IFERROR(MEDIAN(IF(($D$2:$D$401=D161)*($AF$2:$AF$401&gt;=AF161-5)*($AF$2:$AF$401&lt;=AF161-1)*($M$2:$M$401&lt;&gt;""),$M$2:$M$401)),""))</f>
        <v/>
      </c>
      <c r="AH161" s="16" t="str">
        <f aca="false">IF(AND(ISNUMBER(M161),ISNUMBER(AG161)),IF(AG161&gt;0,M161/AG161,""),"")</f>
        <v/>
      </c>
      <c r="AI161" s="15" t="str">
        <f aca="false" t="array" ref="AI161:AI161">IF(D161="","",IFERROR(MEDIAN(IF(($D$2:$D$401=D161)*($AF$2:$AF$401&gt;=AF161-5)*($AF$2:$AF$401&lt;=AF161-1)*($N$2:$N$401&lt;&gt;""),$N$2:$N$401)),""))</f>
        <v/>
      </c>
      <c r="AJ161" s="16" t="str">
        <f aca="false">IF(AND(ISNUMBER(N161),ISNUMBER(AI161)),IF(AI161&gt;0,N161/AI161,""),"")</f>
        <v/>
      </c>
      <c r="AK161" s="12" t="str">
        <f aca="false" t="array" ref="AK161:AK161">IF(D161="","",IFERROR(MEDIAN(IF(($D$2:$D$401=D161)*ISNUMBER($R$2:$R$401),$R$2:$R$401)),""))</f>
        <v/>
      </c>
      <c r="AL161" s="17" t="str">
        <f aca="false">IF(ISNUMBER(AJ161),IF(AND(AJ161&gt;=Resumen!$C$5,OR(NOT(ISNUMBER(R161)),NOT(ISNUMBER(AK161)),R161&gt;=AK161)),"Ganador",IF(AJ161&lt;=Resumen!$C$6,"Perdedor","Normal")),IF(ISNUMBER(AH161),IF(AH161&gt;=Resumen!$C$5,"Ganador (7 d, provisional)",IF(AH161&lt;=Resumen!$C$6,"Perdedor (7 d, provisional)","Normal (7 d, provisional)")),""))</f>
        <v/>
      </c>
      <c r="AM161" s="18" t="str">
        <f aca="false">IF(AND(ISNUMBER(Z161),ISNUMBER(N161)),IF(N161&gt;0,Z161/N161*1000,""),"")</f>
        <v/>
      </c>
      <c r="AN161" s="19" t="str">
        <f aca="false">IF(AND(ISNUMBER(U161),ISNUMBER(N161)),IF(N161&gt;0,U161/N161*1000,""),"")</f>
        <v/>
      </c>
    </row>
    <row r="162" customFormat="false" ht="15" hidden="false" customHeight="false" outlineLevel="0" collapsed="false">
      <c r="A162" s="7"/>
      <c r="B162" s="7"/>
      <c r="C162" s="8"/>
      <c r="D162" s="7"/>
      <c r="E162" s="7"/>
      <c r="F162" s="7"/>
      <c r="G162" s="7"/>
      <c r="H162" s="7"/>
      <c r="I162" s="7"/>
      <c r="J162" s="7"/>
      <c r="K162" s="9"/>
      <c r="L162" s="10"/>
      <c r="M162" s="10"/>
      <c r="N162" s="10"/>
      <c r="O162" s="10"/>
      <c r="P162" s="11"/>
      <c r="Q162" s="9"/>
      <c r="R162" s="12" t="str">
        <f aca="false">IF(AND(ISNUMBER(K162),ISNUMBER(Q162),K162&gt;0),Q162/K162,"")</f>
        <v/>
      </c>
      <c r="S162" s="11"/>
      <c r="T162" s="9"/>
      <c r="U162" s="10"/>
      <c r="V162" s="11"/>
      <c r="W162" s="11"/>
      <c r="X162" s="11"/>
      <c r="Y162" s="12" t="str">
        <f aca="false">IF(COUNT(V162:X162)=0,"",MAX(0,1-SUM(V162:X162)))</f>
        <v/>
      </c>
      <c r="Z162" s="13"/>
      <c r="AA162" s="9"/>
      <c r="AB162" s="7"/>
      <c r="AC162" s="7"/>
      <c r="AD162" s="7"/>
      <c r="AE162" s="7"/>
      <c r="AF162" s="14" t="str">
        <f aca="false">IF(D162="","",COUNTIF($D$2:D162,D162))</f>
        <v/>
      </c>
      <c r="AG162" s="15" t="str">
        <f aca="false" t="array" ref="AG162:AG162">IF(D162="","",IFERROR(MEDIAN(IF(($D$2:$D$401=D162)*($AF$2:$AF$401&gt;=AF162-5)*($AF$2:$AF$401&lt;=AF162-1)*($M$2:$M$401&lt;&gt;""),$M$2:$M$401)),""))</f>
        <v/>
      </c>
      <c r="AH162" s="16" t="str">
        <f aca="false">IF(AND(ISNUMBER(M162),ISNUMBER(AG162)),IF(AG162&gt;0,M162/AG162,""),"")</f>
        <v/>
      </c>
      <c r="AI162" s="15" t="str">
        <f aca="false" t="array" ref="AI162:AI162">IF(D162="","",IFERROR(MEDIAN(IF(($D$2:$D$401=D162)*($AF$2:$AF$401&gt;=AF162-5)*($AF$2:$AF$401&lt;=AF162-1)*($N$2:$N$401&lt;&gt;""),$N$2:$N$401)),""))</f>
        <v/>
      </c>
      <c r="AJ162" s="16" t="str">
        <f aca="false">IF(AND(ISNUMBER(N162),ISNUMBER(AI162)),IF(AI162&gt;0,N162/AI162,""),"")</f>
        <v/>
      </c>
      <c r="AK162" s="12" t="str">
        <f aca="false" t="array" ref="AK162:AK162">IF(D162="","",IFERROR(MEDIAN(IF(($D$2:$D$401=D162)*ISNUMBER($R$2:$R$401),$R$2:$R$401)),""))</f>
        <v/>
      </c>
      <c r="AL162" s="17" t="str">
        <f aca="false">IF(ISNUMBER(AJ162),IF(AND(AJ162&gt;=Resumen!$C$5,OR(NOT(ISNUMBER(R162)),NOT(ISNUMBER(AK162)),R162&gt;=AK162)),"Ganador",IF(AJ162&lt;=Resumen!$C$6,"Perdedor","Normal")),IF(ISNUMBER(AH162),IF(AH162&gt;=Resumen!$C$5,"Ganador (7 d, provisional)",IF(AH162&lt;=Resumen!$C$6,"Perdedor (7 d, provisional)","Normal (7 d, provisional)")),""))</f>
        <v/>
      </c>
      <c r="AM162" s="18" t="str">
        <f aca="false">IF(AND(ISNUMBER(Z162),ISNUMBER(N162)),IF(N162&gt;0,Z162/N162*1000,""),"")</f>
        <v/>
      </c>
      <c r="AN162" s="19" t="str">
        <f aca="false">IF(AND(ISNUMBER(U162),ISNUMBER(N162)),IF(N162&gt;0,U162/N162*1000,""),"")</f>
        <v/>
      </c>
    </row>
    <row r="163" customFormat="false" ht="15" hidden="false" customHeight="false" outlineLevel="0" collapsed="false">
      <c r="A163" s="7"/>
      <c r="B163" s="7"/>
      <c r="C163" s="8"/>
      <c r="D163" s="7"/>
      <c r="E163" s="7"/>
      <c r="F163" s="7"/>
      <c r="G163" s="7"/>
      <c r="H163" s="7"/>
      <c r="I163" s="7"/>
      <c r="J163" s="7"/>
      <c r="K163" s="9"/>
      <c r="L163" s="10"/>
      <c r="M163" s="10"/>
      <c r="N163" s="10"/>
      <c r="O163" s="10"/>
      <c r="P163" s="11"/>
      <c r="Q163" s="9"/>
      <c r="R163" s="12" t="str">
        <f aca="false">IF(AND(ISNUMBER(K163),ISNUMBER(Q163),K163&gt;0),Q163/K163,"")</f>
        <v/>
      </c>
      <c r="S163" s="11"/>
      <c r="T163" s="9"/>
      <c r="U163" s="10"/>
      <c r="V163" s="11"/>
      <c r="W163" s="11"/>
      <c r="X163" s="11"/>
      <c r="Y163" s="12" t="str">
        <f aca="false">IF(COUNT(V163:X163)=0,"",MAX(0,1-SUM(V163:X163)))</f>
        <v/>
      </c>
      <c r="Z163" s="13"/>
      <c r="AA163" s="9"/>
      <c r="AB163" s="7"/>
      <c r="AC163" s="7"/>
      <c r="AD163" s="7"/>
      <c r="AE163" s="7"/>
      <c r="AF163" s="14" t="str">
        <f aca="false">IF(D163="","",COUNTIF($D$2:D163,D163))</f>
        <v/>
      </c>
      <c r="AG163" s="15" t="str">
        <f aca="false" t="array" ref="AG163:AG163">IF(D163="","",IFERROR(MEDIAN(IF(($D$2:$D$401=D163)*($AF$2:$AF$401&gt;=AF163-5)*($AF$2:$AF$401&lt;=AF163-1)*($M$2:$M$401&lt;&gt;""),$M$2:$M$401)),""))</f>
        <v/>
      </c>
      <c r="AH163" s="16" t="str">
        <f aca="false">IF(AND(ISNUMBER(M163),ISNUMBER(AG163)),IF(AG163&gt;0,M163/AG163,""),"")</f>
        <v/>
      </c>
      <c r="AI163" s="15" t="str">
        <f aca="false" t="array" ref="AI163:AI163">IF(D163="","",IFERROR(MEDIAN(IF(($D$2:$D$401=D163)*($AF$2:$AF$401&gt;=AF163-5)*($AF$2:$AF$401&lt;=AF163-1)*($N$2:$N$401&lt;&gt;""),$N$2:$N$401)),""))</f>
        <v/>
      </c>
      <c r="AJ163" s="16" t="str">
        <f aca="false">IF(AND(ISNUMBER(N163),ISNUMBER(AI163)),IF(AI163&gt;0,N163/AI163,""),"")</f>
        <v/>
      </c>
      <c r="AK163" s="12" t="str">
        <f aca="false" t="array" ref="AK163:AK163">IF(D163="","",IFERROR(MEDIAN(IF(($D$2:$D$401=D163)*ISNUMBER($R$2:$R$401),$R$2:$R$401)),""))</f>
        <v/>
      </c>
      <c r="AL163" s="17" t="str">
        <f aca="false">IF(ISNUMBER(AJ163),IF(AND(AJ163&gt;=Resumen!$C$5,OR(NOT(ISNUMBER(R163)),NOT(ISNUMBER(AK163)),R163&gt;=AK163)),"Ganador",IF(AJ163&lt;=Resumen!$C$6,"Perdedor","Normal")),IF(ISNUMBER(AH163),IF(AH163&gt;=Resumen!$C$5,"Ganador (7 d, provisional)",IF(AH163&lt;=Resumen!$C$6,"Perdedor (7 d, provisional)","Normal (7 d, provisional)")),""))</f>
        <v/>
      </c>
      <c r="AM163" s="18" t="str">
        <f aca="false">IF(AND(ISNUMBER(Z163),ISNUMBER(N163)),IF(N163&gt;0,Z163/N163*1000,""),"")</f>
        <v/>
      </c>
      <c r="AN163" s="19" t="str">
        <f aca="false">IF(AND(ISNUMBER(U163),ISNUMBER(N163)),IF(N163&gt;0,U163/N163*1000,""),"")</f>
        <v/>
      </c>
    </row>
    <row r="164" customFormat="false" ht="15" hidden="false" customHeight="false" outlineLevel="0" collapsed="false">
      <c r="A164" s="7"/>
      <c r="B164" s="7"/>
      <c r="C164" s="8"/>
      <c r="D164" s="7"/>
      <c r="E164" s="7"/>
      <c r="F164" s="7"/>
      <c r="G164" s="7"/>
      <c r="H164" s="7"/>
      <c r="I164" s="7"/>
      <c r="J164" s="7"/>
      <c r="K164" s="9"/>
      <c r="L164" s="10"/>
      <c r="M164" s="10"/>
      <c r="N164" s="10"/>
      <c r="O164" s="10"/>
      <c r="P164" s="11"/>
      <c r="Q164" s="9"/>
      <c r="R164" s="12" t="str">
        <f aca="false">IF(AND(ISNUMBER(K164),ISNUMBER(Q164),K164&gt;0),Q164/K164,"")</f>
        <v/>
      </c>
      <c r="S164" s="11"/>
      <c r="T164" s="9"/>
      <c r="U164" s="10"/>
      <c r="V164" s="11"/>
      <c r="W164" s="11"/>
      <c r="X164" s="11"/>
      <c r="Y164" s="12" t="str">
        <f aca="false">IF(COUNT(V164:X164)=0,"",MAX(0,1-SUM(V164:X164)))</f>
        <v/>
      </c>
      <c r="Z164" s="13"/>
      <c r="AA164" s="9"/>
      <c r="AB164" s="7"/>
      <c r="AC164" s="7"/>
      <c r="AD164" s="7"/>
      <c r="AE164" s="7"/>
      <c r="AF164" s="14" t="str">
        <f aca="false">IF(D164="","",COUNTIF($D$2:D164,D164))</f>
        <v/>
      </c>
      <c r="AG164" s="15" t="str">
        <f aca="false" t="array" ref="AG164:AG164">IF(D164="","",IFERROR(MEDIAN(IF(($D$2:$D$401=D164)*($AF$2:$AF$401&gt;=AF164-5)*($AF$2:$AF$401&lt;=AF164-1)*($M$2:$M$401&lt;&gt;""),$M$2:$M$401)),""))</f>
        <v/>
      </c>
      <c r="AH164" s="16" t="str">
        <f aca="false">IF(AND(ISNUMBER(M164),ISNUMBER(AG164)),IF(AG164&gt;0,M164/AG164,""),"")</f>
        <v/>
      </c>
      <c r="AI164" s="15" t="str">
        <f aca="false" t="array" ref="AI164:AI164">IF(D164="","",IFERROR(MEDIAN(IF(($D$2:$D$401=D164)*($AF$2:$AF$401&gt;=AF164-5)*($AF$2:$AF$401&lt;=AF164-1)*($N$2:$N$401&lt;&gt;""),$N$2:$N$401)),""))</f>
        <v/>
      </c>
      <c r="AJ164" s="16" t="str">
        <f aca="false">IF(AND(ISNUMBER(N164),ISNUMBER(AI164)),IF(AI164&gt;0,N164/AI164,""),"")</f>
        <v/>
      </c>
      <c r="AK164" s="12" t="str">
        <f aca="false" t="array" ref="AK164:AK164">IF(D164="","",IFERROR(MEDIAN(IF(($D$2:$D$401=D164)*ISNUMBER($R$2:$R$401),$R$2:$R$401)),""))</f>
        <v/>
      </c>
      <c r="AL164" s="17" t="str">
        <f aca="false">IF(ISNUMBER(AJ164),IF(AND(AJ164&gt;=Resumen!$C$5,OR(NOT(ISNUMBER(R164)),NOT(ISNUMBER(AK164)),R164&gt;=AK164)),"Ganador",IF(AJ164&lt;=Resumen!$C$6,"Perdedor","Normal")),IF(ISNUMBER(AH164),IF(AH164&gt;=Resumen!$C$5,"Ganador (7 d, provisional)",IF(AH164&lt;=Resumen!$C$6,"Perdedor (7 d, provisional)","Normal (7 d, provisional)")),""))</f>
        <v/>
      </c>
      <c r="AM164" s="18" t="str">
        <f aca="false">IF(AND(ISNUMBER(Z164),ISNUMBER(N164)),IF(N164&gt;0,Z164/N164*1000,""),"")</f>
        <v/>
      </c>
      <c r="AN164" s="19" t="str">
        <f aca="false">IF(AND(ISNUMBER(U164),ISNUMBER(N164)),IF(N164&gt;0,U164/N164*1000,""),"")</f>
        <v/>
      </c>
    </row>
    <row r="165" customFormat="false" ht="15" hidden="false" customHeight="false" outlineLevel="0" collapsed="false">
      <c r="A165" s="7"/>
      <c r="B165" s="7"/>
      <c r="C165" s="8"/>
      <c r="D165" s="7"/>
      <c r="E165" s="7"/>
      <c r="F165" s="7"/>
      <c r="G165" s="7"/>
      <c r="H165" s="7"/>
      <c r="I165" s="7"/>
      <c r="J165" s="7"/>
      <c r="K165" s="9"/>
      <c r="L165" s="10"/>
      <c r="M165" s="10"/>
      <c r="N165" s="10"/>
      <c r="O165" s="10"/>
      <c r="P165" s="11"/>
      <c r="Q165" s="9"/>
      <c r="R165" s="12" t="str">
        <f aca="false">IF(AND(ISNUMBER(K165),ISNUMBER(Q165),K165&gt;0),Q165/K165,"")</f>
        <v/>
      </c>
      <c r="S165" s="11"/>
      <c r="T165" s="9"/>
      <c r="U165" s="10"/>
      <c r="V165" s="11"/>
      <c r="W165" s="11"/>
      <c r="X165" s="11"/>
      <c r="Y165" s="12" t="str">
        <f aca="false">IF(COUNT(V165:X165)=0,"",MAX(0,1-SUM(V165:X165)))</f>
        <v/>
      </c>
      <c r="Z165" s="13"/>
      <c r="AA165" s="9"/>
      <c r="AB165" s="7"/>
      <c r="AC165" s="7"/>
      <c r="AD165" s="7"/>
      <c r="AE165" s="7"/>
      <c r="AF165" s="14" t="str">
        <f aca="false">IF(D165="","",COUNTIF($D$2:D165,D165))</f>
        <v/>
      </c>
      <c r="AG165" s="15" t="str">
        <f aca="false" t="array" ref="AG165:AG165">IF(D165="","",IFERROR(MEDIAN(IF(($D$2:$D$401=D165)*($AF$2:$AF$401&gt;=AF165-5)*($AF$2:$AF$401&lt;=AF165-1)*($M$2:$M$401&lt;&gt;""),$M$2:$M$401)),""))</f>
        <v/>
      </c>
      <c r="AH165" s="16" t="str">
        <f aca="false">IF(AND(ISNUMBER(M165),ISNUMBER(AG165)),IF(AG165&gt;0,M165/AG165,""),"")</f>
        <v/>
      </c>
      <c r="AI165" s="15" t="str">
        <f aca="false" t="array" ref="AI165:AI165">IF(D165="","",IFERROR(MEDIAN(IF(($D$2:$D$401=D165)*($AF$2:$AF$401&gt;=AF165-5)*($AF$2:$AF$401&lt;=AF165-1)*($N$2:$N$401&lt;&gt;""),$N$2:$N$401)),""))</f>
        <v/>
      </c>
      <c r="AJ165" s="16" t="str">
        <f aca="false">IF(AND(ISNUMBER(N165),ISNUMBER(AI165)),IF(AI165&gt;0,N165/AI165,""),"")</f>
        <v/>
      </c>
      <c r="AK165" s="12" t="str">
        <f aca="false" t="array" ref="AK165:AK165">IF(D165="","",IFERROR(MEDIAN(IF(($D$2:$D$401=D165)*ISNUMBER($R$2:$R$401),$R$2:$R$401)),""))</f>
        <v/>
      </c>
      <c r="AL165" s="17" t="str">
        <f aca="false">IF(ISNUMBER(AJ165),IF(AND(AJ165&gt;=Resumen!$C$5,OR(NOT(ISNUMBER(R165)),NOT(ISNUMBER(AK165)),R165&gt;=AK165)),"Ganador",IF(AJ165&lt;=Resumen!$C$6,"Perdedor","Normal")),IF(ISNUMBER(AH165),IF(AH165&gt;=Resumen!$C$5,"Ganador (7 d, provisional)",IF(AH165&lt;=Resumen!$C$6,"Perdedor (7 d, provisional)","Normal (7 d, provisional)")),""))</f>
        <v/>
      </c>
      <c r="AM165" s="18" t="str">
        <f aca="false">IF(AND(ISNUMBER(Z165),ISNUMBER(N165)),IF(N165&gt;0,Z165/N165*1000,""),"")</f>
        <v/>
      </c>
      <c r="AN165" s="19" t="str">
        <f aca="false">IF(AND(ISNUMBER(U165),ISNUMBER(N165)),IF(N165&gt;0,U165/N165*1000,""),"")</f>
        <v/>
      </c>
    </row>
    <row r="166" customFormat="false" ht="15" hidden="false" customHeight="false" outlineLevel="0" collapsed="false">
      <c r="A166" s="7"/>
      <c r="B166" s="7"/>
      <c r="C166" s="8"/>
      <c r="D166" s="7"/>
      <c r="E166" s="7"/>
      <c r="F166" s="7"/>
      <c r="G166" s="7"/>
      <c r="H166" s="7"/>
      <c r="I166" s="7"/>
      <c r="J166" s="7"/>
      <c r="K166" s="9"/>
      <c r="L166" s="10"/>
      <c r="M166" s="10"/>
      <c r="N166" s="10"/>
      <c r="O166" s="10"/>
      <c r="P166" s="11"/>
      <c r="Q166" s="9"/>
      <c r="R166" s="12" t="str">
        <f aca="false">IF(AND(ISNUMBER(K166),ISNUMBER(Q166),K166&gt;0),Q166/K166,"")</f>
        <v/>
      </c>
      <c r="S166" s="11"/>
      <c r="T166" s="9"/>
      <c r="U166" s="10"/>
      <c r="V166" s="11"/>
      <c r="W166" s="11"/>
      <c r="X166" s="11"/>
      <c r="Y166" s="12" t="str">
        <f aca="false">IF(COUNT(V166:X166)=0,"",MAX(0,1-SUM(V166:X166)))</f>
        <v/>
      </c>
      <c r="Z166" s="13"/>
      <c r="AA166" s="9"/>
      <c r="AB166" s="7"/>
      <c r="AC166" s="7"/>
      <c r="AD166" s="7"/>
      <c r="AE166" s="7"/>
      <c r="AF166" s="14" t="str">
        <f aca="false">IF(D166="","",COUNTIF($D$2:D166,D166))</f>
        <v/>
      </c>
      <c r="AG166" s="15" t="str">
        <f aca="false" t="array" ref="AG166:AG166">IF(D166="","",IFERROR(MEDIAN(IF(($D$2:$D$401=D166)*($AF$2:$AF$401&gt;=AF166-5)*($AF$2:$AF$401&lt;=AF166-1)*($M$2:$M$401&lt;&gt;""),$M$2:$M$401)),""))</f>
        <v/>
      </c>
      <c r="AH166" s="16" t="str">
        <f aca="false">IF(AND(ISNUMBER(M166),ISNUMBER(AG166)),IF(AG166&gt;0,M166/AG166,""),"")</f>
        <v/>
      </c>
      <c r="AI166" s="15" t="str">
        <f aca="false" t="array" ref="AI166:AI166">IF(D166="","",IFERROR(MEDIAN(IF(($D$2:$D$401=D166)*($AF$2:$AF$401&gt;=AF166-5)*($AF$2:$AF$401&lt;=AF166-1)*($N$2:$N$401&lt;&gt;""),$N$2:$N$401)),""))</f>
        <v/>
      </c>
      <c r="AJ166" s="16" t="str">
        <f aca="false">IF(AND(ISNUMBER(N166),ISNUMBER(AI166)),IF(AI166&gt;0,N166/AI166,""),"")</f>
        <v/>
      </c>
      <c r="AK166" s="12" t="str">
        <f aca="false" t="array" ref="AK166:AK166">IF(D166="","",IFERROR(MEDIAN(IF(($D$2:$D$401=D166)*ISNUMBER($R$2:$R$401),$R$2:$R$401)),""))</f>
        <v/>
      </c>
      <c r="AL166" s="17" t="str">
        <f aca="false">IF(ISNUMBER(AJ166),IF(AND(AJ166&gt;=Resumen!$C$5,OR(NOT(ISNUMBER(R166)),NOT(ISNUMBER(AK166)),R166&gt;=AK166)),"Ganador",IF(AJ166&lt;=Resumen!$C$6,"Perdedor","Normal")),IF(ISNUMBER(AH166),IF(AH166&gt;=Resumen!$C$5,"Ganador (7 d, provisional)",IF(AH166&lt;=Resumen!$C$6,"Perdedor (7 d, provisional)","Normal (7 d, provisional)")),""))</f>
        <v/>
      </c>
      <c r="AM166" s="18" t="str">
        <f aca="false">IF(AND(ISNUMBER(Z166),ISNUMBER(N166)),IF(N166&gt;0,Z166/N166*1000,""),"")</f>
        <v/>
      </c>
      <c r="AN166" s="19" t="str">
        <f aca="false">IF(AND(ISNUMBER(U166),ISNUMBER(N166)),IF(N166&gt;0,U166/N166*1000,""),"")</f>
        <v/>
      </c>
    </row>
    <row r="167" customFormat="false" ht="15" hidden="false" customHeight="false" outlineLevel="0" collapsed="false">
      <c r="A167" s="7"/>
      <c r="B167" s="7"/>
      <c r="C167" s="8"/>
      <c r="D167" s="7"/>
      <c r="E167" s="7"/>
      <c r="F167" s="7"/>
      <c r="G167" s="7"/>
      <c r="H167" s="7"/>
      <c r="I167" s="7"/>
      <c r="J167" s="7"/>
      <c r="K167" s="9"/>
      <c r="L167" s="10"/>
      <c r="M167" s="10"/>
      <c r="N167" s="10"/>
      <c r="O167" s="10"/>
      <c r="P167" s="11"/>
      <c r="Q167" s="9"/>
      <c r="R167" s="12" t="str">
        <f aca="false">IF(AND(ISNUMBER(K167),ISNUMBER(Q167),K167&gt;0),Q167/K167,"")</f>
        <v/>
      </c>
      <c r="S167" s="11"/>
      <c r="T167" s="9"/>
      <c r="U167" s="10"/>
      <c r="V167" s="11"/>
      <c r="W167" s="11"/>
      <c r="X167" s="11"/>
      <c r="Y167" s="12" t="str">
        <f aca="false">IF(COUNT(V167:X167)=0,"",MAX(0,1-SUM(V167:X167)))</f>
        <v/>
      </c>
      <c r="Z167" s="13"/>
      <c r="AA167" s="9"/>
      <c r="AB167" s="7"/>
      <c r="AC167" s="7"/>
      <c r="AD167" s="7"/>
      <c r="AE167" s="7"/>
      <c r="AF167" s="14" t="str">
        <f aca="false">IF(D167="","",COUNTIF($D$2:D167,D167))</f>
        <v/>
      </c>
      <c r="AG167" s="15" t="str">
        <f aca="false" t="array" ref="AG167:AG167">IF(D167="","",IFERROR(MEDIAN(IF(($D$2:$D$401=D167)*($AF$2:$AF$401&gt;=AF167-5)*($AF$2:$AF$401&lt;=AF167-1)*($M$2:$M$401&lt;&gt;""),$M$2:$M$401)),""))</f>
        <v/>
      </c>
      <c r="AH167" s="16" t="str">
        <f aca="false">IF(AND(ISNUMBER(M167),ISNUMBER(AG167)),IF(AG167&gt;0,M167/AG167,""),"")</f>
        <v/>
      </c>
      <c r="AI167" s="15" t="str">
        <f aca="false" t="array" ref="AI167:AI167">IF(D167="","",IFERROR(MEDIAN(IF(($D$2:$D$401=D167)*($AF$2:$AF$401&gt;=AF167-5)*($AF$2:$AF$401&lt;=AF167-1)*($N$2:$N$401&lt;&gt;""),$N$2:$N$401)),""))</f>
        <v/>
      </c>
      <c r="AJ167" s="16" t="str">
        <f aca="false">IF(AND(ISNUMBER(N167),ISNUMBER(AI167)),IF(AI167&gt;0,N167/AI167,""),"")</f>
        <v/>
      </c>
      <c r="AK167" s="12" t="str">
        <f aca="false" t="array" ref="AK167:AK167">IF(D167="","",IFERROR(MEDIAN(IF(($D$2:$D$401=D167)*ISNUMBER($R$2:$R$401),$R$2:$R$401)),""))</f>
        <v/>
      </c>
      <c r="AL167" s="17" t="str">
        <f aca="false">IF(ISNUMBER(AJ167),IF(AND(AJ167&gt;=Resumen!$C$5,OR(NOT(ISNUMBER(R167)),NOT(ISNUMBER(AK167)),R167&gt;=AK167)),"Ganador",IF(AJ167&lt;=Resumen!$C$6,"Perdedor","Normal")),IF(ISNUMBER(AH167),IF(AH167&gt;=Resumen!$C$5,"Ganador (7 d, provisional)",IF(AH167&lt;=Resumen!$C$6,"Perdedor (7 d, provisional)","Normal (7 d, provisional)")),""))</f>
        <v/>
      </c>
      <c r="AM167" s="18" t="str">
        <f aca="false">IF(AND(ISNUMBER(Z167),ISNUMBER(N167)),IF(N167&gt;0,Z167/N167*1000,""),"")</f>
        <v/>
      </c>
      <c r="AN167" s="19" t="str">
        <f aca="false">IF(AND(ISNUMBER(U167),ISNUMBER(N167)),IF(N167&gt;0,U167/N167*1000,""),"")</f>
        <v/>
      </c>
    </row>
    <row r="168" customFormat="false" ht="15" hidden="false" customHeight="false" outlineLevel="0" collapsed="false">
      <c r="A168" s="7"/>
      <c r="B168" s="7"/>
      <c r="C168" s="8"/>
      <c r="D168" s="7"/>
      <c r="E168" s="7"/>
      <c r="F168" s="7"/>
      <c r="G168" s="7"/>
      <c r="H168" s="7"/>
      <c r="I168" s="7"/>
      <c r="J168" s="7"/>
      <c r="K168" s="9"/>
      <c r="L168" s="10"/>
      <c r="M168" s="10"/>
      <c r="N168" s="10"/>
      <c r="O168" s="10"/>
      <c r="P168" s="11"/>
      <c r="Q168" s="9"/>
      <c r="R168" s="12" t="str">
        <f aca="false">IF(AND(ISNUMBER(K168),ISNUMBER(Q168),K168&gt;0),Q168/K168,"")</f>
        <v/>
      </c>
      <c r="S168" s="11"/>
      <c r="T168" s="9"/>
      <c r="U168" s="10"/>
      <c r="V168" s="11"/>
      <c r="W168" s="11"/>
      <c r="X168" s="11"/>
      <c r="Y168" s="12" t="str">
        <f aca="false">IF(COUNT(V168:X168)=0,"",MAX(0,1-SUM(V168:X168)))</f>
        <v/>
      </c>
      <c r="Z168" s="13"/>
      <c r="AA168" s="9"/>
      <c r="AB168" s="7"/>
      <c r="AC168" s="7"/>
      <c r="AD168" s="7"/>
      <c r="AE168" s="7"/>
      <c r="AF168" s="14" t="str">
        <f aca="false">IF(D168="","",COUNTIF($D$2:D168,D168))</f>
        <v/>
      </c>
      <c r="AG168" s="15" t="str">
        <f aca="false" t="array" ref="AG168:AG168">IF(D168="","",IFERROR(MEDIAN(IF(($D$2:$D$401=D168)*($AF$2:$AF$401&gt;=AF168-5)*($AF$2:$AF$401&lt;=AF168-1)*($M$2:$M$401&lt;&gt;""),$M$2:$M$401)),""))</f>
        <v/>
      </c>
      <c r="AH168" s="16" t="str">
        <f aca="false">IF(AND(ISNUMBER(M168),ISNUMBER(AG168)),IF(AG168&gt;0,M168/AG168,""),"")</f>
        <v/>
      </c>
      <c r="AI168" s="15" t="str">
        <f aca="false" t="array" ref="AI168:AI168">IF(D168="","",IFERROR(MEDIAN(IF(($D$2:$D$401=D168)*($AF$2:$AF$401&gt;=AF168-5)*($AF$2:$AF$401&lt;=AF168-1)*($N$2:$N$401&lt;&gt;""),$N$2:$N$401)),""))</f>
        <v/>
      </c>
      <c r="AJ168" s="16" t="str">
        <f aca="false">IF(AND(ISNUMBER(N168),ISNUMBER(AI168)),IF(AI168&gt;0,N168/AI168,""),"")</f>
        <v/>
      </c>
      <c r="AK168" s="12" t="str">
        <f aca="false" t="array" ref="AK168:AK168">IF(D168="","",IFERROR(MEDIAN(IF(($D$2:$D$401=D168)*ISNUMBER($R$2:$R$401),$R$2:$R$401)),""))</f>
        <v/>
      </c>
      <c r="AL168" s="17" t="str">
        <f aca="false">IF(ISNUMBER(AJ168),IF(AND(AJ168&gt;=Resumen!$C$5,OR(NOT(ISNUMBER(R168)),NOT(ISNUMBER(AK168)),R168&gt;=AK168)),"Ganador",IF(AJ168&lt;=Resumen!$C$6,"Perdedor","Normal")),IF(ISNUMBER(AH168),IF(AH168&gt;=Resumen!$C$5,"Ganador (7 d, provisional)",IF(AH168&lt;=Resumen!$C$6,"Perdedor (7 d, provisional)","Normal (7 d, provisional)")),""))</f>
        <v/>
      </c>
      <c r="AM168" s="18" t="str">
        <f aca="false">IF(AND(ISNUMBER(Z168),ISNUMBER(N168)),IF(N168&gt;0,Z168/N168*1000,""),"")</f>
        <v/>
      </c>
      <c r="AN168" s="19" t="str">
        <f aca="false">IF(AND(ISNUMBER(U168),ISNUMBER(N168)),IF(N168&gt;0,U168/N168*1000,""),"")</f>
        <v/>
      </c>
    </row>
    <row r="169" customFormat="false" ht="15" hidden="false" customHeight="false" outlineLevel="0" collapsed="false">
      <c r="A169" s="7"/>
      <c r="B169" s="7"/>
      <c r="C169" s="8"/>
      <c r="D169" s="7"/>
      <c r="E169" s="7"/>
      <c r="F169" s="7"/>
      <c r="G169" s="7"/>
      <c r="H169" s="7"/>
      <c r="I169" s="7"/>
      <c r="J169" s="7"/>
      <c r="K169" s="9"/>
      <c r="L169" s="10"/>
      <c r="M169" s="10"/>
      <c r="N169" s="10"/>
      <c r="O169" s="10"/>
      <c r="P169" s="11"/>
      <c r="Q169" s="9"/>
      <c r="R169" s="12" t="str">
        <f aca="false">IF(AND(ISNUMBER(K169),ISNUMBER(Q169),K169&gt;0),Q169/K169,"")</f>
        <v/>
      </c>
      <c r="S169" s="11"/>
      <c r="T169" s="9"/>
      <c r="U169" s="10"/>
      <c r="V169" s="11"/>
      <c r="W169" s="11"/>
      <c r="X169" s="11"/>
      <c r="Y169" s="12" t="str">
        <f aca="false">IF(COUNT(V169:X169)=0,"",MAX(0,1-SUM(V169:X169)))</f>
        <v/>
      </c>
      <c r="Z169" s="13"/>
      <c r="AA169" s="9"/>
      <c r="AB169" s="7"/>
      <c r="AC169" s="7"/>
      <c r="AD169" s="7"/>
      <c r="AE169" s="7"/>
      <c r="AF169" s="14" t="str">
        <f aca="false">IF(D169="","",COUNTIF($D$2:D169,D169))</f>
        <v/>
      </c>
      <c r="AG169" s="15" t="str">
        <f aca="false" t="array" ref="AG169:AG169">IF(D169="","",IFERROR(MEDIAN(IF(($D$2:$D$401=D169)*($AF$2:$AF$401&gt;=AF169-5)*($AF$2:$AF$401&lt;=AF169-1)*($M$2:$M$401&lt;&gt;""),$M$2:$M$401)),""))</f>
        <v/>
      </c>
      <c r="AH169" s="16" t="str">
        <f aca="false">IF(AND(ISNUMBER(M169),ISNUMBER(AG169)),IF(AG169&gt;0,M169/AG169,""),"")</f>
        <v/>
      </c>
      <c r="AI169" s="15" t="str">
        <f aca="false" t="array" ref="AI169:AI169">IF(D169="","",IFERROR(MEDIAN(IF(($D$2:$D$401=D169)*($AF$2:$AF$401&gt;=AF169-5)*($AF$2:$AF$401&lt;=AF169-1)*($N$2:$N$401&lt;&gt;""),$N$2:$N$401)),""))</f>
        <v/>
      </c>
      <c r="AJ169" s="16" t="str">
        <f aca="false">IF(AND(ISNUMBER(N169),ISNUMBER(AI169)),IF(AI169&gt;0,N169/AI169,""),"")</f>
        <v/>
      </c>
      <c r="AK169" s="12" t="str">
        <f aca="false" t="array" ref="AK169:AK169">IF(D169="","",IFERROR(MEDIAN(IF(($D$2:$D$401=D169)*ISNUMBER($R$2:$R$401),$R$2:$R$401)),""))</f>
        <v/>
      </c>
      <c r="AL169" s="17" t="str">
        <f aca="false">IF(ISNUMBER(AJ169),IF(AND(AJ169&gt;=Resumen!$C$5,OR(NOT(ISNUMBER(R169)),NOT(ISNUMBER(AK169)),R169&gt;=AK169)),"Ganador",IF(AJ169&lt;=Resumen!$C$6,"Perdedor","Normal")),IF(ISNUMBER(AH169),IF(AH169&gt;=Resumen!$C$5,"Ganador (7 d, provisional)",IF(AH169&lt;=Resumen!$C$6,"Perdedor (7 d, provisional)","Normal (7 d, provisional)")),""))</f>
        <v/>
      </c>
      <c r="AM169" s="18" t="str">
        <f aca="false">IF(AND(ISNUMBER(Z169),ISNUMBER(N169)),IF(N169&gt;0,Z169/N169*1000,""),"")</f>
        <v/>
      </c>
      <c r="AN169" s="19" t="str">
        <f aca="false">IF(AND(ISNUMBER(U169),ISNUMBER(N169)),IF(N169&gt;0,U169/N169*1000,""),"")</f>
        <v/>
      </c>
    </row>
    <row r="170" customFormat="false" ht="15" hidden="false" customHeight="false" outlineLevel="0" collapsed="false">
      <c r="A170" s="7"/>
      <c r="B170" s="7"/>
      <c r="C170" s="8"/>
      <c r="D170" s="7"/>
      <c r="E170" s="7"/>
      <c r="F170" s="7"/>
      <c r="G170" s="7"/>
      <c r="H170" s="7"/>
      <c r="I170" s="7"/>
      <c r="J170" s="7"/>
      <c r="K170" s="9"/>
      <c r="L170" s="10"/>
      <c r="M170" s="10"/>
      <c r="N170" s="10"/>
      <c r="O170" s="10"/>
      <c r="P170" s="11"/>
      <c r="Q170" s="9"/>
      <c r="R170" s="12" t="str">
        <f aca="false">IF(AND(ISNUMBER(K170),ISNUMBER(Q170),K170&gt;0),Q170/K170,"")</f>
        <v/>
      </c>
      <c r="S170" s="11"/>
      <c r="T170" s="9"/>
      <c r="U170" s="10"/>
      <c r="V170" s="11"/>
      <c r="W170" s="11"/>
      <c r="X170" s="11"/>
      <c r="Y170" s="12" t="str">
        <f aca="false">IF(COUNT(V170:X170)=0,"",MAX(0,1-SUM(V170:X170)))</f>
        <v/>
      </c>
      <c r="Z170" s="13"/>
      <c r="AA170" s="9"/>
      <c r="AB170" s="7"/>
      <c r="AC170" s="7"/>
      <c r="AD170" s="7"/>
      <c r="AE170" s="7"/>
      <c r="AF170" s="14" t="str">
        <f aca="false">IF(D170="","",COUNTIF($D$2:D170,D170))</f>
        <v/>
      </c>
      <c r="AG170" s="15" t="str">
        <f aca="false" t="array" ref="AG170:AG170">IF(D170="","",IFERROR(MEDIAN(IF(($D$2:$D$401=D170)*($AF$2:$AF$401&gt;=AF170-5)*($AF$2:$AF$401&lt;=AF170-1)*($M$2:$M$401&lt;&gt;""),$M$2:$M$401)),""))</f>
        <v/>
      </c>
      <c r="AH170" s="16" t="str">
        <f aca="false">IF(AND(ISNUMBER(M170),ISNUMBER(AG170)),IF(AG170&gt;0,M170/AG170,""),"")</f>
        <v/>
      </c>
      <c r="AI170" s="15" t="str">
        <f aca="false" t="array" ref="AI170:AI170">IF(D170="","",IFERROR(MEDIAN(IF(($D$2:$D$401=D170)*($AF$2:$AF$401&gt;=AF170-5)*($AF$2:$AF$401&lt;=AF170-1)*($N$2:$N$401&lt;&gt;""),$N$2:$N$401)),""))</f>
        <v/>
      </c>
      <c r="AJ170" s="16" t="str">
        <f aca="false">IF(AND(ISNUMBER(N170),ISNUMBER(AI170)),IF(AI170&gt;0,N170/AI170,""),"")</f>
        <v/>
      </c>
      <c r="AK170" s="12" t="str">
        <f aca="false" t="array" ref="AK170:AK170">IF(D170="","",IFERROR(MEDIAN(IF(($D$2:$D$401=D170)*ISNUMBER($R$2:$R$401),$R$2:$R$401)),""))</f>
        <v/>
      </c>
      <c r="AL170" s="17" t="str">
        <f aca="false">IF(ISNUMBER(AJ170),IF(AND(AJ170&gt;=Resumen!$C$5,OR(NOT(ISNUMBER(R170)),NOT(ISNUMBER(AK170)),R170&gt;=AK170)),"Ganador",IF(AJ170&lt;=Resumen!$C$6,"Perdedor","Normal")),IF(ISNUMBER(AH170),IF(AH170&gt;=Resumen!$C$5,"Ganador (7 d, provisional)",IF(AH170&lt;=Resumen!$C$6,"Perdedor (7 d, provisional)","Normal (7 d, provisional)")),""))</f>
        <v/>
      </c>
      <c r="AM170" s="18" t="str">
        <f aca="false">IF(AND(ISNUMBER(Z170),ISNUMBER(N170)),IF(N170&gt;0,Z170/N170*1000,""),"")</f>
        <v/>
      </c>
      <c r="AN170" s="19" t="str">
        <f aca="false">IF(AND(ISNUMBER(U170),ISNUMBER(N170)),IF(N170&gt;0,U170/N170*1000,""),"")</f>
        <v/>
      </c>
    </row>
    <row r="171" customFormat="false" ht="15" hidden="false" customHeight="false" outlineLevel="0" collapsed="false">
      <c r="A171" s="7"/>
      <c r="B171" s="7"/>
      <c r="C171" s="8"/>
      <c r="D171" s="7"/>
      <c r="E171" s="7"/>
      <c r="F171" s="7"/>
      <c r="G171" s="7"/>
      <c r="H171" s="7"/>
      <c r="I171" s="7"/>
      <c r="J171" s="7"/>
      <c r="K171" s="9"/>
      <c r="L171" s="10"/>
      <c r="M171" s="10"/>
      <c r="N171" s="10"/>
      <c r="O171" s="10"/>
      <c r="P171" s="11"/>
      <c r="Q171" s="9"/>
      <c r="R171" s="12" t="str">
        <f aca="false">IF(AND(ISNUMBER(K171),ISNUMBER(Q171),K171&gt;0),Q171/K171,"")</f>
        <v/>
      </c>
      <c r="S171" s="11"/>
      <c r="T171" s="9"/>
      <c r="U171" s="10"/>
      <c r="V171" s="11"/>
      <c r="W171" s="11"/>
      <c r="X171" s="11"/>
      <c r="Y171" s="12" t="str">
        <f aca="false">IF(COUNT(V171:X171)=0,"",MAX(0,1-SUM(V171:X171)))</f>
        <v/>
      </c>
      <c r="Z171" s="13"/>
      <c r="AA171" s="9"/>
      <c r="AB171" s="7"/>
      <c r="AC171" s="7"/>
      <c r="AD171" s="7"/>
      <c r="AE171" s="7"/>
      <c r="AF171" s="14" t="str">
        <f aca="false">IF(D171="","",COUNTIF($D$2:D171,D171))</f>
        <v/>
      </c>
      <c r="AG171" s="15" t="str">
        <f aca="false" t="array" ref="AG171:AG171">IF(D171="","",IFERROR(MEDIAN(IF(($D$2:$D$401=D171)*($AF$2:$AF$401&gt;=AF171-5)*($AF$2:$AF$401&lt;=AF171-1)*($M$2:$M$401&lt;&gt;""),$M$2:$M$401)),""))</f>
        <v/>
      </c>
      <c r="AH171" s="16" t="str">
        <f aca="false">IF(AND(ISNUMBER(M171),ISNUMBER(AG171)),IF(AG171&gt;0,M171/AG171,""),"")</f>
        <v/>
      </c>
      <c r="AI171" s="15" t="str">
        <f aca="false" t="array" ref="AI171:AI171">IF(D171="","",IFERROR(MEDIAN(IF(($D$2:$D$401=D171)*($AF$2:$AF$401&gt;=AF171-5)*($AF$2:$AF$401&lt;=AF171-1)*($N$2:$N$401&lt;&gt;""),$N$2:$N$401)),""))</f>
        <v/>
      </c>
      <c r="AJ171" s="16" t="str">
        <f aca="false">IF(AND(ISNUMBER(N171),ISNUMBER(AI171)),IF(AI171&gt;0,N171/AI171,""),"")</f>
        <v/>
      </c>
      <c r="AK171" s="12" t="str">
        <f aca="false" t="array" ref="AK171:AK171">IF(D171="","",IFERROR(MEDIAN(IF(($D$2:$D$401=D171)*ISNUMBER($R$2:$R$401),$R$2:$R$401)),""))</f>
        <v/>
      </c>
      <c r="AL171" s="17" t="str">
        <f aca="false">IF(ISNUMBER(AJ171),IF(AND(AJ171&gt;=Resumen!$C$5,OR(NOT(ISNUMBER(R171)),NOT(ISNUMBER(AK171)),R171&gt;=AK171)),"Ganador",IF(AJ171&lt;=Resumen!$C$6,"Perdedor","Normal")),IF(ISNUMBER(AH171),IF(AH171&gt;=Resumen!$C$5,"Ganador (7 d, provisional)",IF(AH171&lt;=Resumen!$C$6,"Perdedor (7 d, provisional)","Normal (7 d, provisional)")),""))</f>
        <v/>
      </c>
      <c r="AM171" s="18" t="str">
        <f aca="false">IF(AND(ISNUMBER(Z171),ISNUMBER(N171)),IF(N171&gt;0,Z171/N171*1000,""),"")</f>
        <v/>
      </c>
      <c r="AN171" s="19" t="str">
        <f aca="false">IF(AND(ISNUMBER(U171),ISNUMBER(N171)),IF(N171&gt;0,U171/N171*1000,""),"")</f>
        <v/>
      </c>
    </row>
    <row r="172" customFormat="false" ht="15" hidden="false" customHeight="false" outlineLevel="0" collapsed="false">
      <c r="A172" s="7"/>
      <c r="B172" s="7"/>
      <c r="C172" s="8"/>
      <c r="D172" s="7"/>
      <c r="E172" s="7"/>
      <c r="F172" s="7"/>
      <c r="G172" s="7"/>
      <c r="H172" s="7"/>
      <c r="I172" s="7"/>
      <c r="J172" s="7"/>
      <c r="K172" s="9"/>
      <c r="L172" s="10"/>
      <c r="M172" s="10"/>
      <c r="N172" s="10"/>
      <c r="O172" s="10"/>
      <c r="P172" s="11"/>
      <c r="Q172" s="9"/>
      <c r="R172" s="12" t="str">
        <f aca="false">IF(AND(ISNUMBER(K172),ISNUMBER(Q172),K172&gt;0),Q172/K172,"")</f>
        <v/>
      </c>
      <c r="S172" s="11"/>
      <c r="T172" s="9"/>
      <c r="U172" s="10"/>
      <c r="V172" s="11"/>
      <c r="W172" s="11"/>
      <c r="X172" s="11"/>
      <c r="Y172" s="12" t="str">
        <f aca="false">IF(COUNT(V172:X172)=0,"",MAX(0,1-SUM(V172:X172)))</f>
        <v/>
      </c>
      <c r="Z172" s="13"/>
      <c r="AA172" s="9"/>
      <c r="AB172" s="7"/>
      <c r="AC172" s="7"/>
      <c r="AD172" s="7"/>
      <c r="AE172" s="7"/>
      <c r="AF172" s="14" t="str">
        <f aca="false">IF(D172="","",COUNTIF($D$2:D172,D172))</f>
        <v/>
      </c>
      <c r="AG172" s="15" t="str">
        <f aca="false" t="array" ref="AG172:AG172">IF(D172="","",IFERROR(MEDIAN(IF(($D$2:$D$401=D172)*($AF$2:$AF$401&gt;=AF172-5)*($AF$2:$AF$401&lt;=AF172-1)*($M$2:$M$401&lt;&gt;""),$M$2:$M$401)),""))</f>
        <v/>
      </c>
      <c r="AH172" s="16" t="str">
        <f aca="false">IF(AND(ISNUMBER(M172),ISNUMBER(AG172)),IF(AG172&gt;0,M172/AG172,""),"")</f>
        <v/>
      </c>
      <c r="AI172" s="15" t="str">
        <f aca="false" t="array" ref="AI172:AI172">IF(D172="","",IFERROR(MEDIAN(IF(($D$2:$D$401=D172)*($AF$2:$AF$401&gt;=AF172-5)*($AF$2:$AF$401&lt;=AF172-1)*($N$2:$N$401&lt;&gt;""),$N$2:$N$401)),""))</f>
        <v/>
      </c>
      <c r="AJ172" s="16" t="str">
        <f aca="false">IF(AND(ISNUMBER(N172),ISNUMBER(AI172)),IF(AI172&gt;0,N172/AI172,""),"")</f>
        <v/>
      </c>
      <c r="AK172" s="12" t="str">
        <f aca="false" t="array" ref="AK172:AK172">IF(D172="","",IFERROR(MEDIAN(IF(($D$2:$D$401=D172)*ISNUMBER($R$2:$R$401),$R$2:$R$401)),""))</f>
        <v/>
      </c>
      <c r="AL172" s="17" t="str">
        <f aca="false">IF(ISNUMBER(AJ172),IF(AND(AJ172&gt;=Resumen!$C$5,OR(NOT(ISNUMBER(R172)),NOT(ISNUMBER(AK172)),R172&gt;=AK172)),"Ganador",IF(AJ172&lt;=Resumen!$C$6,"Perdedor","Normal")),IF(ISNUMBER(AH172),IF(AH172&gt;=Resumen!$C$5,"Ganador (7 d, provisional)",IF(AH172&lt;=Resumen!$C$6,"Perdedor (7 d, provisional)","Normal (7 d, provisional)")),""))</f>
        <v/>
      </c>
      <c r="AM172" s="18" t="str">
        <f aca="false">IF(AND(ISNUMBER(Z172),ISNUMBER(N172)),IF(N172&gt;0,Z172/N172*1000,""),"")</f>
        <v/>
      </c>
      <c r="AN172" s="19" t="str">
        <f aca="false">IF(AND(ISNUMBER(U172),ISNUMBER(N172)),IF(N172&gt;0,U172/N172*1000,""),"")</f>
        <v/>
      </c>
    </row>
    <row r="173" customFormat="false" ht="15" hidden="false" customHeight="false" outlineLevel="0" collapsed="false">
      <c r="A173" s="7"/>
      <c r="B173" s="7"/>
      <c r="C173" s="8"/>
      <c r="D173" s="7"/>
      <c r="E173" s="7"/>
      <c r="F173" s="7"/>
      <c r="G173" s="7"/>
      <c r="H173" s="7"/>
      <c r="I173" s="7"/>
      <c r="J173" s="7"/>
      <c r="K173" s="9"/>
      <c r="L173" s="10"/>
      <c r="M173" s="10"/>
      <c r="N173" s="10"/>
      <c r="O173" s="10"/>
      <c r="P173" s="11"/>
      <c r="Q173" s="9"/>
      <c r="R173" s="12" t="str">
        <f aca="false">IF(AND(ISNUMBER(K173),ISNUMBER(Q173),K173&gt;0),Q173/K173,"")</f>
        <v/>
      </c>
      <c r="S173" s="11"/>
      <c r="T173" s="9"/>
      <c r="U173" s="10"/>
      <c r="V173" s="11"/>
      <c r="W173" s="11"/>
      <c r="X173" s="11"/>
      <c r="Y173" s="12" t="str">
        <f aca="false">IF(COUNT(V173:X173)=0,"",MAX(0,1-SUM(V173:X173)))</f>
        <v/>
      </c>
      <c r="Z173" s="13"/>
      <c r="AA173" s="9"/>
      <c r="AB173" s="7"/>
      <c r="AC173" s="7"/>
      <c r="AD173" s="7"/>
      <c r="AE173" s="7"/>
      <c r="AF173" s="14" t="str">
        <f aca="false">IF(D173="","",COUNTIF($D$2:D173,D173))</f>
        <v/>
      </c>
      <c r="AG173" s="15" t="str">
        <f aca="false" t="array" ref="AG173:AG173">IF(D173="","",IFERROR(MEDIAN(IF(($D$2:$D$401=D173)*($AF$2:$AF$401&gt;=AF173-5)*($AF$2:$AF$401&lt;=AF173-1)*($M$2:$M$401&lt;&gt;""),$M$2:$M$401)),""))</f>
        <v/>
      </c>
      <c r="AH173" s="16" t="str">
        <f aca="false">IF(AND(ISNUMBER(M173),ISNUMBER(AG173)),IF(AG173&gt;0,M173/AG173,""),"")</f>
        <v/>
      </c>
      <c r="AI173" s="15" t="str">
        <f aca="false" t="array" ref="AI173:AI173">IF(D173="","",IFERROR(MEDIAN(IF(($D$2:$D$401=D173)*($AF$2:$AF$401&gt;=AF173-5)*($AF$2:$AF$401&lt;=AF173-1)*($N$2:$N$401&lt;&gt;""),$N$2:$N$401)),""))</f>
        <v/>
      </c>
      <c r="AJ173" s="16" t="str">
        <f aca="false">IF(AND(ISNUMBER(N173),ISNUMBER(AI173)),IF(AI173&gt;0,N173/AI173,""),"")</f>
        <v/>
      </c>
      <c r="AK173" s="12" t="str">
        <f aca="false" t="array" ref="AK173:AK173">IF(D173="","",IFERROR(MEDIAN(IF(($D$2:$D$401=D173)*ISNUMBER($R$2:$R$401),$R$2:$R$401)),""))</f>
        <v/>
      </c>
      <c r="AL173" s="17" t="str">
        <f aca="false">IF(ISNUMBER(AJ173),IF(AND(AJ173&gt;=Resumen!$C$5,OR(NOT(ISNUMBER(R173)),NOT(ISNUMBER(AK173)),R173&gt;=AK173)),"Ganador",IF(AJ173&lt;=Resumen!$C$6,"Perdedor","Normal")),IF(ISNUMBER(AH173),IF(AH173&gt;=Resumen!$C$5,"Ganador (7 d, provisional)",IF(AH173&lt;=Resumen!$C$6,"Perdedor (7 d, provisional)","Normal (7 d, provisional)")),""))</f>
        <v/>
      </c>
      <c r="AM173" s="18" t="str">
        <f aca="false">IF(AND(ISNUMBER(Z173),ISNUMBER(N173)),IF(N173&gt;0,Z173/N173*1000,""),"")</f>
        <v/>
      </c>
      <c r="AN173" s="19" t="str">
        <f aca="false">IF(AND(ISNUMBER(U173),ISNUMBER(N173)),IF(N173&gt;0,U173/N173*1000,""),"")</f>
        <v/>
      </c>
    </row>
    <row r="174" customFormat="false" ht="15" hidden="false" customHeight="false" outlineLevel="0" collapsed="false">
      <c r="A174" s="7"/>
      <c r="B174" s="7"/>
      <c r="C174" s="8"/>
      <c r="D174" s="7"/>
      <c r="E174" s="7"/>
      <c r="F174" s="7"/>
      <c r="G174" s="7"/>
      <c r="H174" s="7"/>
      <c r="I174" s="7"/>
      <c r="J174" s="7"/>
      <c r="K174" s="9"/>
      <c r="L174" s="10"/>
      <c r="M174" s="10"/>
      <c r="N174" s="10"/>
      <c r="O174" s="10"/>
      <c r="P174" s="11"/>
      <c r="Q174" s="9"/>
      <c r="R174" s="12" t="str">
        <f aca="false">IF(AND(ISNUMBER(K174),ISNUMBER(Q174),K174&gt;0),Q174/K174,"")</f>
        <v/>
      </c>
      <c r="S174" s="11"/>
      <c r="T174" s="9"/>
      <c r="U174" s="10"/>
      <c r="V174" s="11"/>
      <c r="W174" s="11"/>
      <c r="X174" s="11"/>
      <c r="Y174" s="12" t="str">
        <f aca="false">IF(COUNT(V174:X174)=0,"",MAX(0,1-SUM(V174:X174)))</f>
        <v/>
      </c>
      <c r="Z174" s="13"/>
      <c r="AA174" s="9"/>
      <c r="AB174" s="7"/>
      <c r="AC174" s="7"/>
      <c r="AD174" s="7"/>
      <c r="AE174" s="7"/>
      <c r="AF174" s="14" t="str">
        <f aca="false">IF(D174="","",COUNTIF($D$2:D174,D174))</f>
        <v/>
      </c>
      <c r="AG174" s="15" t="str">
        <f aca="false" t="array" ref="AG174:AG174">IF(D174="","",IFERROR(MEDIAN(IF(($D$2:$D$401=D174)*($AF$2:$AF$401&gt;=AF174-5)*($AF$2:$AF$401&lt;=AF174-1)*($M$2:$M$401&lt;&gt;""),$M$2:$M$401)),""))</f>
        <v/>
      </c>
      <c r="AH174" s="16" t="str">
        <f aca="false">IF(AND(ISNUMBER(M174),ISNUMBER(AG174)),IF(AG174&gt;0,M174/AG174,""),"")</f>
        <v/>
      </c>
      <c r="AI174" s="15" t="str">
        <f aca="false" t="array" ref="AI174:AI174">IF(D174="","",IFERROR(MEDIAN(IF(($D$2:$D$401=D174)*($AF$2:$AF$401&gt;=AF174-5)*($AF$2:$AF$401&lt;=AF174-1)*($N$2:$N$401&lt;&gt;""),$N$2:$N$401)),""))</f>
        <v/>
      </c>
      <c r="AJ174" s="16" t="str">
        <f aca="false">IF(AND(ISNUMBER(N174),ISNUMBER(AI174)),IF(AI174&gt;0,N174/AI174,""),"")</f>
        <v/>
      </c>
      <c r="AK174" s="12" t="str">
        <f aca="false" t="array" ref="AK174:AK174">IF(D174="","",IFERROR(MEDIAN(IF(($D$2:$D$401=D174)*ISNUMBER($R$2:$R$401),$R$2:$R$401)),""))</f>
        <v/>
      </c>
      <c r="AL174" s="17" t="str">
        <f aca="false">IF(ISNUMBER(AJ174),IF(AND(AJ174&gt;=Resumen!$C$5,OR(NOT(ISNUMBER(R174)),NOT(ISNUMBER(AK174)),R174&gt;=AK174)),"Ganador",IF(AJ174&lt;=Resumen!$C$6,"Perdedor","Normal")),IF(ISNUMBER(AH174),IF(AH174&gt;=Resumen!$C$5,"Ganador (7 d, provisional)",IF(AH174&lt;=Resumen!$C$6,"Perdedor (7 d, provisional)","Normal (7 d, provisional)")),""))</f>
        <v/>
      </c>
      <c r="AM174" s="18" t="str">
        <f aca="false">IF(AND(ISNUMBER(Z174),ISNUMBER(N174)),IF(N174&gt;0,Z174/N174*1000,""),"")</f>
        <v/>
      </c>
      <c r="AN174" s="19" t="str">
        <f aca="false">IF(AND(ISNUMBER(U174),ISNUMBER(N174)),IF(N174&gt;0,U174/N174*1000,""),"")</f>
        <v/>
      </c>
    </row>
    <row r="175" customFormat="false" ht="15" hidden="false" customHeight="false" outlineLevel="0" collapsed="false">
      <c r="A175" s="7"/>
      <c r="B175" s="7"/>
      <c r="C175" s="8"/>
      <c r="D175" s="7"/>
      <c r="E175" s="7"/>
      <c r="F175" s="7"/>
      <c r="G175" s="7"/>
      <c r="H175" s="7"/>
      <c r="I175" s="7"/>
      <c r="J175" s="7"/>
      <c r="K175" s="9"/>
      <c r="L175" s="10"/>
      <c r="M175" s="10"/>
      <c r="N175" s="10"/>
      <c r="O175" s="10"/>
      <c r="P175" s="11"/>
      <c r="Q175" s="9"/>
      <c r="R175" s="12" t="str">
        <f aca="false">IF(AND(ISNUMBER(K175),ISNUMBER(Q175),K175&gt;0),Q175/K175,"")</f>
        <v/>
      </c>
      <c r="S175" s="11"/>
      <c r="T175" s="9"/>
      <c r="U175" s="10"/>
      <c r="V175" s="11"/>
      <c r="W175" s="11"/>
      <c r="X175" s="11"/>
      <c r="Y175" s="12" t="str">
        <f aca="false">IF(COUNT(V175:X175)=0,"",MAX(0,1-SUM(V175:X175)))</f>
        <v/>
      </c>
      <c r="Z175" s="13"/>
      <c r="AA175" s="9"/>
      <c r="AB175" s="7"/>
      <c r="AC175" s="7"/>
      <c r="AD175" s="7"/>
      <c r="AE175" s="7"/>
      <c r="AF175" s="14" t="str">
        <f aca="false">IF(D175="","",COUNTIF($D$2:D175,D175))</f>
        <v/>
      </c>
      <c r="AG175" s="15" t="str">
        <f aca="false" t="array" ref="AG175:AG175">IF(D175="","",IFERROR(MEDIAN(IF(($D$2:$D$401=D175)*($AF$2:$AF$401&gt;=AF175-5)*($AF$2:$AF$401&lt;=AF175-1)*($M$2:$M$401&lt;&gt;""),$M$2:$M$401)),""))</f>
        <v/>
      </c>
      <c r="AH175" s="16" t="str">
        <f aca="false">IF(AND(ISNUMBER(M175),ISNUMBER(AG175)),IF(AG175&gt;0,M175/AG175,""),"")</f>
        <v/>
      </c>
      <c r="AI175" s="15" t="str">
        <f aca="false" t="array" ref="AI175:AI175">IF(D175="","",IFERROR(MEDIAN(IF(($D$2:$D$401=D175)*($AF$2:$AF$401&gt;=AF175-5)*($AF$2:$AF$401&lt;=AF175-1)*($N$2:$N$401&lt;&gt;""),$N$2:$N$401)),""))</f>
        <v/>
      </c>
      <c r="AJ175" s="16" t="str">
        <f aca="false">IF(AND(ISNUMBER(N175),ISNUMBER(AI175)),IF(AI175&gt;0,N175/AI175,""),"")</f>
        <v/>
      </c>
      <c r="AK175" s="12" t="str">
        <f aca="false" t="array" ref="AK175:AK175">IF(D175="","",IFERROR(MEDIAN(IF(($D$2:$D$401=D175)*ISNUMBER($R$2:$R$401),$R$2:$R$401)),""))</f>
        <v/>
      </c>
      <c r="AL175" s="17" t="str">
        <f aca="false">IF(ISNUMBER(AJ175),IF(AND(AJ175&gt;=Resumen!$C$5,OR(NOT(ISNUMBER(R175)),NOT(ISNUMBER(AK175)),R175&gt;=AK175)),"Ganador",IF(AJ175&lt;=Resumen!$C$6,"Perdedor","Normal")),IF(ISNUMBER(AH175),IF(AH175&gt;=Resumen!$C$5,"Ganador (7 d, provisional)",IF(AH175&lt;=Resumen!$C$6,"Perdedor (7 d, provisional)","Normal (7 d, provisional)")),""))</f>
        <v/>
      </c>
      <c r="AM175" s="18" t="str">
        <f aca="false">IF(AND(ISNUMBER(Z175),ISNUMBER(N175)),IF(N175&gt;0,Z175/N175*1000,""),"")</f>
        <v/>
      </c>
      <c r="AN175" s="19" t="str">
        <f aca="false">IF(AND(ISNUMBER(U175),ISNUMBER(N175)),IF(N175&gt;0,U175/N175*1000,""),"")</f>
        <v/>
      </c>
    </row>
    <row r="176" customFormat="false" ht="15" hidden="false" customHeight="false" outlineLevel="0" collapsed="false">
      <c r="A176" s="7"/>
      <c r="B176" s="7"/>
      <c r="C176" s="8"/>
      <c r="D176" s="7"/>
      <c r="E176" s="7"/>
      <c r="F176" s="7"/>
      <c r="G176" s="7"/>
      <c r="H176" s="7"/>
      <c r="I176" s="7"/>
      <c r="J176" s="7"/>
      <c r="K176" s="9"/>
      <c r="L176" s="10"/>
      <c r="M176" s="10"/>
      <c r="N176" s="10"/>
      <c r="O176" s="10"/>
      <c r="P176" s="11"/>
      <c r="Q176" s="9"/>
      <c r="R176" s="12" t="str">
        <f aca="false">IF(AND(ISNUMBER(K176),ISNUMBER(Q176),K176&gt;0),Q176/K176,"")</f>
        <v/>
      </c>
      <c r="S176" s="11"/>
      <c r="T176" s="9"/>
      <c r="U176" s="10"/>
      <c r="V176" s="11"/>
      <c r="W176" s="11"/>
      <c r="X176" s="11"/>
      <c r="Y176" s="12" t="str">
        <f aca="false">IF(COUNT(V176:X176)=0,"",MAX(0,1-SUM(V176:X176)))</f>
        <v/>
      </c>
      <c r="Z176" s="13"/>
      <c r="AA176" s="9"/>
      <c r="AB176" s="7"/>
      <c r="AC176" s="7"/>
      <c r="AD176" s="7"/>
      <c r="AE176" s="7"/>
      <c r="AF176" s="14" t="str">
        <f aca="false">IF(D176="","",COUNTIF($D$2:D176,D176))</f>
        <v/>
      </c>
      <c r="AG176" s="15" t="str">
        <f aca="false" t="array" ref="AG176:AG176">IF(D176="","",IFERROR(MEDIAN(IF(($D$2:$D$401=D176)*($AF$2:$AF$401&gt;=AF176-5)*($AF$2:$AF$401&lt;=AF176-1)*($M$2:$M$401&lt;&gt;""),$M$2:$M$401)),""))</f>
        <v/>
      </c>
      <c r="AH176" s="16" t="str">
        <f aca="false">IF(AND(ISNUMBER(M176),ISNUMBER(AG176)),IF(AG176&gt;0,M176/AG176,""),"")</f>
        <v/>
      </c>
      <c r="AI176" s="15" t="str">
        <f aca="false" t="array" ref="AI176:AI176">IF(D176="","",IFERROR(MEDIAN(IF(($D$2:$D$401=D176)*($AF$2:$AF$401&gt;=AF176-5)*($AF$2:$AF$401&lt;=AF176-1)*($N$2:$N$401&lt;&gt;""),$N$2:$N$401)),""))</f>
        <v/>
      </c>
      <c r="AJ176" s="16" t="str">
        <f aca="false">IF(AND(ISNUMBER(N176),ISNUMBER(AI176)),IF(AI176&gt;0,N176/AI176,""),"")</f>
        <v/>
      </c>
      <c r="AK176" s="12" t="str">
        <f aca="false" t="array" ref="AK176:AK176">IF(D176="","",IFERROR(MEDIAN(IF(($D$2:$D$401=D176)*ISNUMBER($R$2:$R$401),$R$2:$R$401)),""))</f>
        <v/>
      </c>
      <c r="AL176" s="17" t="str">
        <f aca="false">IF(ISNUMBER(AJ176),IF(AND(AJ176&gt;=Resumen!$C$5,OR(NOT(ISNUMBER(R176)),NOT(ISNUMBER(AK176)),R176&gt;=AK176)),"Ganador",IF(AJ176&lt;=Resumen!$C$6,"Perdedor","Normal")),IF(ISNUMBER(AH176),IF(AH176&gt;=Resumen!$C$5,"Ganador (7 d, provisional)",IF(AH176&lt;=Resumen!$C$6,"Perdedor (7 d, provisional)","Normal (7 d, provisional)")),""))</f>
        <v/>
      </c>
      <c r="AM176" s="18" t="str">
        <f aca="false">IF(AND(ISNUMBER(Z176),ISNUMBER(N176)),IF(N176&gt;0,Z176/N176*1000,""),"")</f>
        <v/>
      </c>
      <c r="AN176" s="19" t="str">
        <f aca="false">IF(AND(ISNUMBER(U176),ISNUMBER(N176)),IF(N176&gt;0,U176/N176*1000,""),"")</f>
        <v/>
      </c>
    </row>
    <row r="177" customFormat="false" ht="15" hidden="false" customHeight="false" outlineLevel="0" collapsed="false">
      <c r="A177" s="7"/>
      <c r="B177" s="7"/>
      <c r="C177" s="8"/>
      <c r="D177" s="7"/>
      <c r="E177" s="7"/>
      <c r="F177" s="7"/>
      <c r="G177" s="7"/>
      <c r="H177" s="7"/>
      <c r="I177" s="7"/>
      <c r="J177" s="7"/>
      <c r="K177" s="9"/>
      <c r="L177" s="10"/>
      <c r="M177" s="10"/>
      <c r="N177" s="10"/>
      <c r="O177" s="10"/>
      <c r="P177" s="11"/>
      <c r="Q177" s="9"/>
      <c r="R177" s="12" t="str">
        <f aca="false">IF(AND(ISNUMBER(K177),ISNUMBER(Q177),K177&gt;0),Q177/K177,"")</f>
        <v/>
      </c>
      <c r="S177" s="11"/>
      <c r="T177" s="9"/>
      <c r="U177" s="10"/>
      <c r="V177" s="11"/>
      <c r="W177" s="11"/>
      <c r="X177" s="11"/>
      <c r="Y177" s="12" t="str">
        <f aca="false">IF(COUNT(V177:X177)=0,"",MAX(0,1-SUM(V177:X177)))</f>
        <v/>
      </c>
      <c r="Z177" s="13"/>
      <c r="AA177" s="9"/>
      <c r="AB177" s="7"/>
      <c r="AC177" s="7"/>
      <c r="AD177" s="7"/>
      <c r="AE177" s="7"/>
      <c r="AF177" s="14" t="str">
        <f aca="false">IF(D177="","",COUNTIF($D$2:D177,D177))</f>
        <v/>
      </c>
      <c r="AG177" s="15" t="str">
        <f aca="false" t="array" ref="AG177:AG177">IF(D177="","",IFERROR(MEDIAN(IF(($D$2:$D$401=D177)*($AF$2:$AF$401&gt;=AF177-5)*($AF$2:$AF$401&lt;=AF177-1)*($M$2:$M$401&lt;&gt;""),$M$2:$M$401)),""))</f>
        <v/>
      </c>
      <c r="AH177" s="16" t="str">
        <f aca="false">IF(AND(ISNUMBER(M177),ISNUMBER(AG177)),IF(AG177&gt;0,M177/AG177,""),"")</f>
        <v/>
      </c>
      <c r="AI177" s="15" t="str">
        <f aca="false" t="array" ref="AI177:AI177">IF(D177="","",IFERROR(MEDIAN(IF(($D$2:$D$401=D177)*($AF$2:$AF$401&gt;=AF177-5)*($AF$2:$AF$401&lt;=AF177-1)*($N$2:$N$401&lt;&gt;""),$N$2:$N$401)),""))</f>
        <v/>
      </c>
      <c r="AJ177" s="16" t="str">
        <f aca="false">IF(AND(ISNUMBER(N177),ISNUMBER(AI177)),IF(AI177&gt;0,N177/AI177,""),"")</f>
        <v/>
      </c>
      <c r="AK177" s="12" t="str">
        <f aca="false" t="array" ref="AK177:AK177">IF(D177="","",IFERROR(MEDIAN(IF(($D$2:$D$401=D177)*ISNUMBER($R$2:$R$401),$R$2:$R$401)),""))</f>
        <v/>
      </c>
      <c r="AL177" s="17" t="str">
        <f aca="false">IF(ISNUMBER(AJ177),IF(AND(AJ177&gt;=Resumen!$C$5,OR(NOT(ISNUMBER(R177)),NOT(ISNUMBER(AK177)),R177&gt;=AK177)),"Ganador",IF(AJ177&lt;=Resumen!$C$6,"Perdedor","Normal")),IF(ISNUMBER(AH177),IF(AH177&gt;=Resumen!$C$5,"Ganador (7 d, provisional)",IF(AH177&lt;=Resumen!$C$6,"Perdedor (7 d, provisional)","Normal (7 d, provisional)")),""))</f>
        <v/>
      </c>
      <c r="AM177" s="18" t="str">
        <f aca="false">IF(AND(ISNUMBER(Z177),ISNUMBER(N177)),IF(N177&gt;0,Z177/N177*1000,""),"")</f>
        <v/>
      </c>
      <c r="AN177" s="19" t="str">
        <f aca="false">IF(AND(ISNUMBER(U177),ISNUMBER(N177)),IF(N177&gt;0,U177/N177*1000,""),"")</f>
        <v/>
      </c>
    </row>
    <row r="178" customFormat="false" ht="15" hidden="false" customHeight="false" outlineLevel="0" collapsed="false">
      <c r="A178" s="7"/>
      <c r="B178" s="7"/>
      <c r="C178" s="8"/>
      <c r="D178" s="7"/>
      <c r="E178" s="7"/>
      <c r="F178" s="7"/>
      <c r="G178" s="7"/>
      <c r="H178" s="7"/>
      <c r="I178" s="7"/>
      <c r="J178" s="7"/>
      <c r="K178" s="9"/>
      <c r="L178" s="10"/>
      <c r="M178" s="10"/>
      <c r="N178" s="10"/>
      <c r="O178" s="10"/>
      <c r="P178" s="11"/>
      <c r="Q178" s="9"/>
      <c r="R178" s="12" t="str">
        <f aca="false">IF(AND(ISNUMBER(K178),ISNUMBER(Q178),K178&gt;0),Q178/K178,"")</f>
        <v/>
      </c>
      <c r="S178" s="11"/>
      <c r="T178" s="9"/>
      <c r="U178" s="10"/>
      <c r="V178" s="11"/>
      <c r="W178" s="11"/>
      <c r="X178" s="11"/>
      <c r="Y178" s="12" t="str">
        <f aca="false">IF(COUNT(V178:X178)=0,"",MAX(0,1-SUM(V178:X178)))</f>
        <v/>
      </c>
      <c r="Z178" s="13"/>
      <c r="AA178" s="9"/>
      <c r="AB178" s="7"/>
      <c r="AC178" s="7"/>
      <c r="AD178" s="7"/>
      <c r="AE178" s="7"/>
      <c r="AF178" s="14" t="str">
        <f aca="false">IF(D178="","",COUNTIF($D$2:D178,D178))</f>
        <v/>
      </c>
      <c r="AG178" s="15" t="str">
        <f aca="false" t="array" ref="AG178:AG178">IF(D178="","",IFERROR(MEDIAN(IF(($D$2:$D$401=D178)*($AF$2:$AF$401&gt;=AF178-5)*($AF$2:$AF$401&lt;=AF178-1)*($M$2:$M$401&lt;&gt;""),$M$2:$M$401)),""))</f>
        <v/>
      </c>
      <c r="AH178" s="16" t="str">
        <f aca="false">IF(AND(ISNUMBER(M178),ISNUMBER(AG178)),IF(AG178&gt;0,M178/AG178,""),"")</f>
        <v/>
      </c>
      <c r="AI178" s="15" t="str">
        <f aca="false" t="array" ref="AI178:AI178">IF(D178="","",IFERROR(MEDIAN(IF(($D$2:$D$401=D178)*($AF$2:$AF$401&gt;=AF178-5)*($AF$2:$AF$401&lt;=AF178-1)*($N$2:$N$401&lt;&gt;""),$N$2:$N$401)),""))</f>
        <v/>
      </c>
      <c r="AJ178" s="16" t="str">
        <f aca="false">IF(AND(ISNUMBER(N178),ISNUMBER(AI178)),IF(AI178&gt;0,N178/AI178,""),"")</f>
        <v/>
      </c>
      <c r="AK178" s="12" t="str">
        <f aca="false" t="array" ref="AK178:AK178">IF(D178="","",IFERROR(MEDIAN(IF(($D$2:$D$401=D178)*ISNUMBER($R$2:$R$401),$R$2:$R$401)),""))</f>
        <v/>
      </c>
      <c r="AL178" s="17" t="str">
        <f aca="false">IF(ISNUMBER(AJ178),IF(AND(AJ178&gt;=Resumen!$C$5,OR(NOT(ISNUMBER(R178)),NOT(ISNUMBER(AK178)),R178&gt;=AK178)),"Ganador",IF(AJ178&lt;=Resumen!$C$6,"Perdedor","Normal")),IF(ISNUMBER(AH178),IF(AH178&gt;=Resumen!$C$5,"Ganador (7 d, provisional)",IF(AH178&lt;=Resumen!$C$6,"Perdedor (7 d, provisional)","Normal (7 d, provisional)")),""))</f>
        <v/>
      </c>
      <c r="AM178" s="18" t="str">
        <f aca="false">IF(AND(ISNUMBER(Z178),ISNUMBER(N178)),IF(N178&gt;0,Z178/N178*1000,""),"")</f>
        <v/>
      </c>
      <c r="AN178" s="19" t="str">
        <f aca="false">IF(AND(ISNUMBER(U178),ISNUMBER(N178)),IF(N178&gt;0,U178/N178*1000,""),"")</f>
        <v/>
      </c>
    </row>
    <row r="179" customFormat="false" ht="15" hidden="false" customHeight="false" outlineLevel="0" collapsed="false">
      <c r="A179" s="7"/>
      <c r="B179" s="7"/>
      <c r="C179" s="8"/>
      <c r="D179" s="7"/>
      <c r="E179" s="7"/>
      <c r="F179" s="7"/>
      <c r="G179" s="7"/>
      <c r="H179" s="7"/>
      <c r="I179" s="7"/>
      <c r="J179" s="7"/>
      <c r="K179" s="9"/>
      <c r="L179" s="10"/>
      <c r="M179" s="10"/>
      <c r="N179" s="10"/>
      <c r="O179" s="10"/>
      <c r="P179" s="11"/>
      <c r="Q179" s="9"/>
      <c r="R179" s="12" t="str">
        <f aca="false">IF(AND(ISNUMBER(K179),ISNUMBER(Q179),K179&gt;0),Q179/K179,"")</f>
        <v/>
      </c>
      <c r="S179" s="11"/>
      <c r="T179" s="9"/>
      <c r="U179" s="10"/>
      <c r="V179" s="11"/>
      <c r="W179" s="11"/>
      <c r="X179" s="11"/>
      <c r="Y179" s="12" t="str">
        <f aca="false">IF(COUNT(V179:X179)=0,"",MAX(0,1-SUM(V179:X179)))</f>
        <v/>
      </c>
      <c r="Z179" s="13"/>
      <c r="AA179" s="9"/>
      <c r="AB179" s="7"/>
      <c r="AC179" s="7"/>
      <c r="AD179" s="7"/>
      <c r="AE179" s="7"/>
      <c r="AF179" s="14" t="str">
        <f aca="false">IF(D179="","",COUNTIF($D$2:D179,D179))</f>
        <v/>
      </c>
      <c r="AG179" s="15" t="str">
        <f aca="false" t="array" ref="AG179:AG179">IF(D179="","",IFERROR(MEDIAN(IF(($D$2:$D$401=D179)*($AF$2:$AF$401&gt;=AF179-5)*($AF$2:$AF$401&lt;=AF179-1)*($M$2:$M$401&lt;&gt;""),$M$2:$M$401)),""))</f>
        <v/>
      </c>
      <c r="AH179" s="16" t="str">
        <f aca="false">IF(AND(ISNUMBER(M179),ISNUMBER(AG179)),IF(AG179&gt;0,M179/AG179,""),"")</f>
        <v/>
      </c>
      <c r="AI179" s="15" t="str">
        <f aca="false" t="array" ref="AI179:AI179">IF(D179="","",IFERROR(MEDIAN(IF(($D$2:$D$401=D179)*($AF$2:$AF$401&gt;=AF179-5)*($AF$2:$AF$401&lt;=AF179-1)*($N$2:$N$401&lt;&gt;""),$N$2:$N$401)),""))</f>
        <v/>
      </c>
      <c r="AJ179" s="16" t="str">
        <f aca="false">IF(AND(ISNUMBER(N179),ISNUMBER(AI179)),IF(AI179&gt;0,N179/AI179,""),"")</f>
        <v/>
      </c>
      <c r="AK179" s="12" t="str">
        <f aca="false" t="array" ref="AK179:AK179">IF(D179="","",IFERROR(MEDIAN(IF(($D$2:$D$401=D179)*ISNUMBER($R$2:$R$401),$R$2:$R$401)),""))</f>
        <v/>
      </c>
      <c r="AL179" s="17" t="str">
        <f aca="false">IF(ISNUMBER(AJ179),IF(AND(AJ179&gt;=Resumen!$C$5,OR(NOT(ISNUMBER(R179)),NOT(ISNUMBER(AK179)),R179&gt;=AK179)),"Ganador",IF(AJ179&lt;=Resumen!$C$6,"Perdedor","Normal")),IF(ISNUMBER(AH179),IF(AH179&gt;=Resumen!$C$5,"Ganador (7 d, provisional)",IF(AH179&lt;=Resumen!$C$6,"Perdedor (7 d, provisional)","Normal (7 d, provisional)")),""))</f>
        <v/>
      </c>
      <c r="AM179" s="18" t="str">
        <f aca="false">IF(AND(ISNUMBER(Z179),ISNUMBER(N179)),IF(N179&gt;0,Z179/N179*1000,""),"")</f>
        <v/>
      </c>
      <c r="AN179" s="19" t="str">
        <f aca="false">IF(AND(ISNUMBER(U179),ISNUMBER(N179)),IF(N179&gt;0,U179/N179*1000,""),"")</f>
        <v/>
      </c>
    </row>
    <row r="180" customFormat="false" ht="15" hidden="false" customHeight="false" outlineLevel="0" collapsed="false">
      <c r="A180" s="7"/>
      <c r="B180" s="7"/>
      <c r="C180" s="8"/>
      <c r="D180" s="7"/>
      <c r="E180" s="7"/>
      <c r="F180" s="7"/>
      <c r="G180" s="7"/>
      <c r="H180" s="7"/>
      <c r="I180" s="7"/>
      <c r="J180" s="7"/>
      <c r="K180" s="9"/>
      <c r="L180" s="10"/>
      <c r="M180" s="10"/>
      <c r="N180" s="10"/>
      <c r="O180" s="10"/>
      <c r="P180" s="11"/>
      <c r="Q180" s="9"/>
      <c r="R180" s="12" t="str">
        <f aca="false">IF(AND(ISNUMBER(K180),ISNUMBER(Q180),K180&gt;0),Q180/K180,"")</f>
        <v/>
      </c>
      <c r="S180" s="11"/>
      <c r="T180" s="9"/>
      <c r="U180" s="10"/>
      <c r="V180" s="11"/>
      <c r="W180" s="11"/>
      <c r="X180" s="11"/>
      <c r="Y180" s="12" t="str">
        <f aca="false">IF(COUNT(V180:X180)=0,"",MAX(0,1-SUM(V180:X180)))</f>
        <v/>
      </c>
      <c r="Z180" s="13"/>
      <c r="AA180" s="9"/>
      <c r="AB180" s="7"/>
      <c r="AC180" s="7"/>
      <c r="AD180" s="7"/>
      <c r="AE180" s="7"/>
      <c r="AF180" s="14" t="str">
        <f aca="false">IF(D180="","",COUNTIF($D$2:D180,D180))</f>
        <v/>
      </c>
      <c r="AG180" s="15" t="str">
        <f aca="false" t="array" ref="AG180:AG180">IF(D180="","",IFERROR(MEDIAN(IF(($D$2:$D$401=D180)*($AF$2:$AF$401&gt;=AF180-5)*($AF$2:$AF$401&lt;=AF180-1)*($M$2:$M$401&lt;&gt;""),$M$2:$M$401)),""))</f>
        <v/>
      </c>
      <c r="AH180" s="16" t="str">
        <f aca="false">IF(AND(ISNUMBER(M180),ISNUMBER(AG180)),IF(AG180&gt;0,M180/AG180,""),"")</f>
        <v/>
      </c>
      <c r="AI180" s="15" t="str">
        <f aca="false" t="array" ref="AI180:AI180">IF(D180="","",IFERROR(MEDIAN(IF(($D$2:$D$401=D180)*($AF$2:$AF$401&gt;=AF180-5)*($AF$2:$AF$401&lt;=AF180-1)*($N$2:$N$401&lt;&gt;""),$N$2:$N$401)),""))</f>
        <v/>
      </c>
      <c r="AJ180" s="16" t="str">
        <f aca="false">IF(AND(ISNUMBER(N180),ISNUMBER(AI180)),IF(AI180&gt;0,N180/AI180,""),"")</f>
        <v/>
      </c>
      <c r="AK180" s="12" t="str">
        <f aca="false" t="array" ref="AK180:AK180">IF(D180="","",IFERROR(MEDIAN(IF(($D$2:$D$401=D180)*ISNUMBER($R$2:$R$401),$R$2:$R$401)),""))</f>
        <v/>
      </c>
      <c r="AL180" s="17" t="str">
        <f aca="false">IF(ISNUMBER(AJ180),IF(AND(AJ180&gt;=Resumen!$C$5,OR(NOT(ISNUMBER(R180)),NOT(ISNUMBER(AK180)),R180&gt;=AK180)),"Ganador",IF(AJ180&lt;=Resumen!$C$6,"Perdedor","Normal")),IF(ISNUMBER(AH180),IF(AH180&gt;=Resumen!$C$5,"Ganador (7 d, provisional)",IF(AH180&lt;=Resumen!$C$6,"Perdedor (7 d, provisional)","Normal (7 d, provisional)")),""))</f>
        <v/>
      </c>
      <c r="AM180" s="18" t="str">
        <f aca="false">IF(AND(ISNUMBER(Z180),ISNUMBER(N180)),IF(N180&gt;0,Z180/N180*1000,""),"")</f>
        <v/>
      </c>
      <c r="AN180" s="19" t="str">
        <f aca="false">IF(AND(ISNUMBER(U180),ISNUMBER(N180)),IF(N180&gt;0,U180/N180*1000,""),"")</f>
        <v/>
      </c>
    </row>
    <row r="181" customFormat="false" ht="15" hidden="false" customHeight="false" outlineLevel="0" collapsed="false">
      <c r="A181" s="7"/>
      <c r="B181" s="7"/>
      <c r="C181" s="8"/>
      <c r="D181" s="7"/>
      <c r="E181" s="7"/>
      <c r="F181" s="7"/>
      <c r="G181" s="7"/>
      <c r="H181" s="7"/>
      <c r="I181" s="7"/>
      <c r="J181" s="7"/>
      <c r="K181" s="9"/>
      <c r="L181" s="10"/>
      <c r="M181" s="10"/>
      <c r="N181" s="10"/>
      <c r="O181" s="10"/>
      <c r="P181" s="11"/>
      <c r="Q181" s="9"/>
      <c r="R181" s="12" t="str">
        <f aca="false">IF(AND(ISNUMBER(K181),ISNUMBER(Q181),K181&gt;0),Q181/K181,"")</f>
        <v/>
      </c>
      <c r="S181" s="11"/>
      <c r="T181" s="9"/>
      <c r="U181" s="10"/>
      <c r="V181" s="11"/>
      <c r="W181" s="11"/>
      <c r="X181" s="11"/>
      <c r="Y181" s="12" t="str">
        <f aca="false">IF(COUNT(V181:X181)=0,"",MAX(0,1-SUM(V181:X181)))</f>
        <v/>
      </c>
      <c r="Z181" s="13"/>
      <c r="AA181" s="9"/>
      <c r="AB181" s="7"/>
      <c r="AC181" s="7"/>
      <c r="AD181" s="7"/>
      <c r="AE181" s="7"/>
      <c r="AF181" s="14" t="str">
        <f aca="false">IF(D181="","",COUNTIF($D$2:D181,D181))</f>
        <v/>
      </c>
      <c r="AG181" s="15" t="str">
        <f aca="false" t="array" ref="AG181:AG181">IF(D181="","",IFERROR(MEDIAN(IF(($D$2:$D$401=D181)*($AF$2:$AF$401&gt;=AF181-5)*($AF$2:$AF$401&lt;=AF181-1)*($M$2:$M$401&lt;&gt;""),$M$2:$M$401)),""))</f>
        <v/>
      </c>
      <c r="AH181" s="16" t="str">
        <f aca="false">IF(AND(ISNUMBER(M181),ISNUMBER(AG181)),IF(AG181&gt;0,M181/AG181,""),"")</f>
        <v/>
      </c>
      <c r="AI181" s="15" t="str">
        <f aca="false" t="array" ref="AI181:AI181">IF(D181="","",IFERROR(MEDIAN(IF(($D$2:$D$401=D181)*($AF$2:$AF$401&gt;=AF181-5)*($AF$2:$AF$401&lt;=AF181-1)*($N$2:$N$401&lt;&gt;""),$N$2:$N$401)),""))</f>
        <v/>
      </c>
      <c r="AJ181" s="16" t="str">
        <f aca="false">IF(AND(ISNUMBER(N181),ISNUMBER(AI181)),IF(AI181&gt;0,N181/AI181,""),"")</f>
        <v/>
      </c>
      <c r="AK181" s="12" t="str">
        <f aca="false" t="array" ref="AK181:AK181">IF(D181="","",IFERROR(MEDIAN(IF(($D$2:$D$401=D181)*ISNUMBER($R$2:$R$401),$R$2:$R$401)),""))</f>
        <v/>
      </c>
      <c r="AL181" s="17" t="str">
        <f aca="false">IF(ISNUMBER(AJ181),IF(AND(AJ181&gt;=Resumen!$C$5,OR(NOT(ISNUMBER(R181)),NOT(ISNUMBER(AK181)),R181&gt;=AK181)),"Ganador",IF(AJ181&lt;=Resumen!$C$6,"Perdedor","Normal")),IF(ISNUMBER(AH181),IF(AH181&gt;=Resumen!$C$5,"Ganador (7 d, provisional)",IF(AH181&lt;=Resumen!$C$6,"Perdedor (7 d, provisional)","Normal (7 d, provisional)")),""))</f>
        <v/>
      </c>
      <c r="AM181" s="18" t="str">
        <f aca="false">IF(AND(ISNUMBER(Z181),ISNUMBER(N181)),IF(N181&gt;0,Z181/N181*1000,""),"")</f>
        <v/>
      </c>
      <c r="AN181" s="19" t="str">
        <f aca="false">IF(AND(ISNUMBER(U181),ISNUMBER(N181)),IF(N181&gt;0,U181/N181*1000,""),"")</f>
        <v/>
      </c>
    </row>
    <row r="182" customFormat="false" ht="15" hidden="false" customHeight="false" outlineLevel="0" collapsed="false">
      <c r="A182" s="7"/>
      <c r="B182" s="7"/>
      <c r="C182" s="8"/>
      <c r="D182" s="7"/>
      <c r="E182" s="7"/>
      <c r="F182" s="7"/>
      <c r="G182" s="7"/>
      <c r="H182" s="7"/>
      <c r="I182" s="7"/>
      <c r="J182" s="7"/>
      <c r="K182" s="9"/>
      <c r="L182" s="10"/>
      <c r="M182" s="10"/>
      <c r="N182" s="10"/>
      <c r="O182" s="10"/>
      <c r="P182" s="11"/>
      <c r="Q182" s="9"/>
      <c r="R182" s="12" t="str">
        <f aca="false">IF(AND(ISNUMBER(K182),ISNUMBER(Q182),K182&gt;0),Q182/K182,"")</f>
        <v/>
      </c>
      <c r="S182" s="11"/>
      <c r="T182" s="9"/>
      <c r="U182" s="10"/>
      <c r="V182" s="11"/>
      <c r="W182" s="11"/>
      <c r="X182" s="11"/>
      <c r="Y182" s="12" t="str">
        <f aca="false">IF(COUNT(V182:X182)=0,"",MAX(0,1-SUM(V182:X182)))</f>
        <v/>
      </c>
      <c r="Z182" s="13"/>
      <c r="AA182" s="9"/>
      <c r="AB182" s="7"/>
      <c r="AC182" s="7"/>
      <c r="AD182" s="7"/>
      <c r="AE182" s="7"/>
      <c r="AF182" s="14" t="str">
        <f aca="false">IF(D182="","",COUNTIF($D$2:D182,D182))</f>
        <v/>
      </c>
      <c r="AG182" s="15" t="str">
        <f aca="false" t="array" ref="AG182:AG182">IF(D182="","",IFERROR(MEDIAN(IF(($D$2:$D$401=D182)*($AF$2:$AF$401&gt;=AF182-5)*($AF$2:$AF$401&lt;=AF182-1)*($M$2:$M$401&lt;&gt;""),$M$2:$M$401)),""))</f>
        <v/>
      </c>
      <c r="AH182" s="16" t="str">
        <f aca="false">IF(AND(ISNUMBER(M182),ISNUMBER(AG182)),IF(AG182&gt;0,M182/AG182,""),"")</f>
        <v/>
      </c>
      <c r="AI182" s="15" t="str">
        <f aca="false" t="array" ref="AI182:AI182">IF(D182="","",IFERROR(MEDIAN(IF(($D$2:$D$401=D182)*($AF$2:$AF$401&gt;=AF182-5)*($AF$2:$AF$401&lt;=AF182-1)*($N$2:$N$401&lt;&gt;""),$N$2:$N$401)),""))</f>
        <v/>
      </c>
      <c r="AJ182" s="16" t="str">
        <f aca="false">IF(AND(ISNUMBER(N182),ISNUMBER(AI182)),IF(AI182&gt;0,N182/AI182,""),"")</f>
        <v/>
      </c>
      <c r="AK182" s="12" t="str">
        <f aca="false" t="array" ref="AK182:AK182">IF(D182="","",IFERROR(MEDIAN(IF(($D$2:$D$401=D182)*ISNUMBER($R$2:$R$401),$R$2:$R$401)),""))</f>
        <v/>
      </c>
      <c r="AL182" s="17" t="str">
        <f aca="false">IF(ISNUMBER(AJ182),IF(AND(AJ182&gt;=Resumen!$C$5,OR(NOT(ISNUMBER(R182)),NOT(ISNUMBER(AK182)),R182&gt;=AK182)),"Ganador",IF(AJ182&lt;=Resumen!$C$6,"Perdedor","Normal")),IF(ISNUMBER(AH182),IF(AH182&gt;=Resumen!$C$5,"Ganador (7 d, provisional)",IF(AH182&lt;=Resumen!$C$6,"Perdedor (7 d, provisional)","Normal (7 d, provisional)")),""))</f>
        <v/>
      </c>
      <c r="AM182" s="18" t="str">
        <f aca="false">IF(AND(ISNUMBER(Z182),ISNUMBER(N182)),IF(N182&gt;0,Z182/N182*1000,""),"")</f>
        <v/>
      </c>
      <c r="AN182" s="19" t="str">
        <f aca="false">IF(AND(ISNUMBER(U182),ISNUMBER(N182)),IF(N182&gt;0,U182/N182*1000,""),"")</f>
        <v/>
      </c>
    </row>
    <row r="183" customFormat="false" ht="15" hidden="false" customHeight="false" outlineLevel="0" collapsed="false">
      <c r="A183" s="7"/>
      <c r="B183" s="7"/>
      <c r="C183" s="8"/>
      <c r="D183" s="7"/>
      <c r="E183" s="7"/>
      <c r="F183" s="7"/>
      <c r="G183" s="7"/>
      <c r="H183" s="7"/>
      <c r="I183" s="7"/>
      <c r="J183" s="7"/>
      <c r="K183" s="9"/>
      <c r="L183" s="10"/>
      <c r="M183" s="10"/>
      <c r="N183" s="10"/>
      <c r="O183" s="10"/>
      <c r="P183" s="11"/>
      <c r="Q183" s="9"/>
      <c r="R183" s="12" t="str">
        <f aca="false">IF(AND(ISNUMBER(K183),ISNUMBER(Q183),K183&gt;0),Q183/K183,"")</f>
        <v/>
      </c>
      <c r="S183" s="11"/>
      <c r="T183" s="9"/>
      <c r="U183" s="10"/>
      <c r="V183" s="11"/>
      <c r="W183" s="11"/>
      <c r="X183" s="11"/>
      <c r="Y183" s="12" t="str">
        <f aca="false">IF(COUNT(V183:X183)=0,"",MAX(0,1-SUM(V183:X183)))</f>
        <v/>
      </c>
      <c r="Z183" s="13"/>
      <c r="AA183" s="9"/>
      <c r="AB183" s="7"/>
      <c r="AC183" s="7"/>
      <c r="AD183" s="7"/>
      <c r="AE183" s="7"/>
      <c r="AF183" s="14" t="str">
        <f aca="false">IF(D183="","",COUNTIF($D$2:D183,D183))</f>
        <v/>
      </c>
      <c r="AG183" s="15" t="str">
        <f aca="false" t="array" ref="AG183:AG183">IF(D183="","",IFERROR(MEDIAN(IF(($D$2:$D$401=D183)*($AF$2:$AF$401&gt;=AF183-5)*($AF$2:$AF$401&lt;=AF183-1)*($M$2:$M$401&lt;&gt;""),$M$2:$M$401)),""))</f>
        <v/>
      </c>
      <c r="AH183" s="16" t="str">
        <f aca="false">IF(AND(ISNUMBER(M183),ISNUMBER(AG183)),IF(AG183&gt;0,M183/AG183,""),"")</f>
        <v/>
      </c>
      <c r="AI183" s="15" t="str">
        <f aca="false" t="array" ref="AI183:AI183">IF(D183="","",IFERROR(MEDIAN(IF(($D$2:$D$401=D183)*($AF$2:$AF$401&gt;=AF183-5)*($AF$2:$AF$401&lt;=AF183-1)*($N$2:$N$401&lt;&gt;""),$N$2:$N$401)),""))</f>
        <v/>
      </c>
      <c r="AJ183" s="16" t="str">
        <f aca="false">IF(AND(ISNUMBER(N183),ISNUMBER(AI183)),IF(AI183&gt;0,N183/AI183,""),"")</f>
        <v/>
      </c>
      <c r="AK183" s="12" t="str">
        <f aca="false" t="array" ref="AK183:AK183">IF(D183="","",IFERROR(MEDIAN(IF(($D$2:$D$401=D183)*ISNUMBER($R$2:$R$401),$R$2:$R$401)),""))</f>
        <v/>
      </c>
      <c r="AL183" s="17" t="str">
        <f aca="false">IF(ISNUMBER(AJ183),IF(AND(AJ183&gt;=Resumen!$C$5,OR(NOT(ISNUMBER(R183)),NOT(ISNUMBER(AK183)),R183&gt;=AK183)),"Ganador",IF(AJ183&lt;=Resumen!$C$6,"Perdedor","Normal")),IF(ISNUMBER(AH183),IF(AH183&gt;=Resumen!$C$5,"Ganador (7 d, provisional)",IF(AH183&lt;=Resumen!$C$6,"Perdedor (7 d, provisional)","Normal (7 d, provisional)")),""))</f>
        <v/>
      </c>
      <c r="AM183" s="18" t="str">
        <f aca="false">IF(AND(ISNUMBER(Z183),ISNUMBER(N183)),IF(N183&gt;0,Z183/N183*1000,""),"")</f>
        <v/>
      </c>
      <c r="AN183" s="19" t="str">
        <f aca="false">IF(AND(ISNUMBER(U183),ISNUMBER(N183)),IF(N183&gt;0,U183/N183*1000,""),"")</f>
        <v/>
      </c>
    </row>
    <row r="184" customFormat="false" ht="15" hidden="false" customHeight="false" outlineLevel="0" collapsed="false">
      <c r="A184" s="7"/>
      <c r="B184" s="7"/>
      <c r="C184" s="8"/>
      <c r="D184" s="7"/>
      <c r="E184" s="7"/>
      <c r="F184" s="7"/>
      <c r="G184" s="7"/>
      <c r="H184" s="7"/>
      <c r="I184" s="7"/>
      <c r="J184" s="7"/>
      <c r="K184" s="9"/>
      <c r="L184" s="10"/>
      <c r="M184" s="10"/>
      <c r="N184" s="10"/>
      <c r="O184" s="10"/>
      <c r="P184" s="11"/>
      <c r="Q184" s="9"/>
      <c r="R184" s="12" t="str">
        <f aca="false">IF(AND(ISNUMBER(K184),ISNUMBER(Q184),K184&gt;0),Q184/K184,"")</f>
        <v/>
      </c>
      <c r="S184" s="11"/>
      <c r="T184" s="9"/>
      <c r="U184" s="10"/>
      <c r="V184" s="11"/>
      <c r="W184" s="11"/>
      <c r="X184" s="11"/>
      <c r="Y184" s="12" t="str">
        <f aca="false">IF(COUNT(V184:X184)=0,"",MAX(0,1-SUM(V184:X184)))</f>
        <v/>
      </c>
      <c r="Z184" s="13"/>
      <c r="AA184" s="9"/>
      <c r="AB184" s="7"/>
      <c r="AC184" s="7"/>
      <c r="AD184" s="7"/>
      <c r="AE184" s="7"/>
      <c r="AF184" s="14" t="str">
        <f aca="false">IF(D184="","",COUNTIF($D$2:D184,D184))</f>
        <v/>
      </c>
      <c r="AG184" s="15" t="str">
        <f aca="false" t="array" ref="AG184:AG184">IF(D184="","",IFERROR(MEDIAN(IF(($D$2:$D$401=D184)*($AF$2:$AF$401&gt;=AF184-5)*($AF$2:$AF$401&lt;=AF184-1)*($M$2:$M$401&lt;&gt;""),$M$2:$M$401)),""))</f>
        <v/>
      </c>
      <c r="AH184" s="16" t="str">
        <f aca="false">IF(AND(ISNUMBER(M184),ISNUMBER(AG184)),IF(AG184&gt;0,M184/AG184,""),"")</f>
        <v/>
      </c>
      <c r="AI184" s="15" t="str">
        <f aca="false" t="array" ref="AI184:AI184">IF(D184="","",IFERROR(MEDIAN(IF(($D$2:$D$401=D184)*($AF$2:$AF$401&gt;=AF184-5)*($AF$2:$AF$401&lt;=AF184-1)*($N$2:$N$401&lt;&gt;""),$N$2:$N$401)),""))</f>
        <v/>
      </c>
      <c r="AJ184" s="16" t="str">
        <f aca="false">IF(AND(ISNUMBER(N184),ISNUMBER(AI184)),IF(AI184&gt;0,N184/AI184,""),"")</f>
        <v/>
      </c>
      <c r="AK184" s="12" t="str">
        <f aca="false" t="array" ref="AK184:AK184">IF(D184="","",IFERROR(MEDIAN(IF(($D$2:$D$401=D184)*ISNUMBER($R$2:$R$401),$R$2:$R$401)),""))</f>
        <v/>
      </c>
      <c r="AL184" s="17" t="str">
        <f aca="false">IF(ISNUMBER(AJ184),IF(AND(AJ184&gt;=Resumen!$C$5,OR(NOT(ISNUMBER(R184)),NOT(ISNUMBER(AK184)),R184&gt;=AK184)),"Ganador",IF(AJ184&lt;=Resumen!$C$6,"Perdedor","Normal")),IF(ISNUMBER(AH184),IF(AH184&gt;=Resumen!$C$5,"Ganador (7 d, provisional)",IF(AH184&lt;=Resumen!$C$6,"Perdedor (7 d, provisional)","Normal (7 d, provisional)")),""))</f>
        <v/>
      </c>
      <c r="AM184" s="18" t="str">
        <f aca="false">IF(AND(ISNUMBER(Z184),ISNUMBER(N184)),IF(N184&gt;0,Z184/N184*1000,""),"")</f>
        <v/>
      </c>
      <c r="AN184" s="19" t="str">
        <f aca="false">IF(AND(ISNUMBER(U184),ISNUMBER(N184)),IF(N184&gt;0,U184/N184*1000,""),"")</f>
        <v/>
      </c>
    </row>
    <row r="185" customFormat="false" ht="15" hidden="false" customHeight="false" outlineLevel="0" collapsed="false">
      <c r="A185" s="7"/>
      <c r="B185" s="7"/>
      <c r="C185" s="8"/>
      <c r="D185" s="7"/>
      <c r="E185" s="7"/>
      <c r="F185" s="7"/>
      <c r="G185" s="7"/>
      <c r="H185" s="7"/>
      <c r="I185" s="7"/>
      <c r="J185" s="7"/>
      <c r="K185" s="9"/>
      <c r="L185" s="10"/>
      <c r="M185" s="10"/>
      <c r="N185" s="10"/>
      <c r="O185" s="10"/>
      <c r="P185" s="11"/>
      <c r="Q185" s="9"/>
      <c r="R185" s="12" t="str">
        <f aca="false">IF(AND(ISNUMBER(K185),ISNUMBER(Q185),K185&gt;0),Q185/K185,"")</f>
        <v/>
      </c>
      <c r="S185" s="11"/>
      <c r="T185" s="9"/>
      <c r="U185" s="10"/>
      <c r="V185" s="11"/>
      <c r="W185" s="11"/>
      <c r="X185" s="11"/>
      <c r="Y185" s="12" t="str">
        <f aca="false">IF(COUNT(V185:X185)=0,"",MAX(0,1-SUM(V185:X185)))</f>
        <v/>
      </c>
      <c r="Z185" s="13"/>
      <c r="AA185" s="9"/>
      <c r="AB185" s="7"/>
      <c r="AC185" s="7"/>
      <c r="AD185" s="7"/>
      <c r="AE185" s="7"/>
      <c r="AF185" s="14" t="str">
        <f aca="false">IF(D185="","",COUNTIF($D$2:D185,D185))</f>
        <v/>
      </c>
      <c r="AG185" s="15" t="str">
        <f aca="false" t="array" ref="AG185:AG185">IF(D185="","",IFERROR(MEDIAN(IF(($D$2:$D$401=D185)*($AF$2:$AF$401&gt;=AF185-5)*($AF$2:$AF$401&lt;=AF185-1)*($M$2:$M$401&lt;&gt;""),$M$2:$M$401)),""))</f>
        <v/>
      </c>
      <c r="AH185" s="16" t="str">
        <f aca="false">IF(AND(ISNUMBER(M185),ISNUMBER(AG185)),IF(AG185&gt;0,M185/AG185,""),"")</f>
        <v/>
      </c>
      <c r="AI185" s="15" t="str">
        <f aca="false" t="array" ref="AI185:AI185">IF(D185="","",IFERROR(MEDIAN(IF(($D$2:$D$401=D185)*($AF$2:$AF$401&gt;=AF185-5)*($AF$2:$AF$401&lt;=AF185-1)*($N$2:$N$401&lt;&gt;""),$N$2:$N$401)),""))</f>
        <v/>
      </c>
      <c r="AJ185" s="16" t="str">
        <f aca="false">IF(AND(ISNUMBER(N185),ISNUMBER(AI185)),IF(AI185&gt;0,N185/AI185,""),"")</f>
        <v/>
      </c>
      <c r="AK185" s="12" t="str">
        <f aca="false" t="array" ref="AK185:AK185">IF(D185="","",IFERROR(MEDIAN(IF(($D$2:$D$401=D185)*ISNUMBER($R$2:$R$401),$R$2:$R$401)),""))</f>
        <v/>
      </c>
      <c r="AL185" s="17" t="str">
        <f aca="false">IF(ISNUMBER(AJ185),IF(AND(AJ185&gt;=Resumen!$C$5,OR(NOT(ISNUMBER(R185)),NOT(ISNUMBER(AK185)),R185&gt;=AK185)),"Ganador",IF(AJ185&lt;=Resumen!$C$6,"Perdedor","Normal")),IF(ISNUMBER(AH185),IF(AH185&gt;=Resumen!$C$5,"Ganador (7 d, provisional)",IF(AH185&lt;=Resumen!$C$6,"Perdedor (7 d, provisional)","Normal (7 d, provisional)")),""))</f>
        <v/>
      </c>
      <c r="AM185" s="18" t="str">
        <f aca="false">IF(AND(ISNUMBER(Z185),ISNUMBER(N185)),IF(N185&gt;0,Z185/N185*1000,""),"")</f>
        <v/>
      </c>
      <c r="AN185" s="19" t="str">
        <f aca="false">IF(AND(ISNUMBER(U185),ISNUMBER(N185)),IF(N185&gt;0,U185/N185*1000,""),"")</f>
        <v/>
      </c>
    </row>
    <row r="186" customFormat="false" ht="15" hidden="false" customHeight="false" outlineLevel="0" collapsed="false">
      <c r="A186" s="7"/>
      <c r="B186" s="7"/>
      <c r="C186" s="8"/>
      <c r="D186" s="7"/>
      <c r="E186" s="7"/>
      <c r="F186" s="7"/>
      <c r="G186" s="7"/>
      <c r="H186" s="7"/>
      <c r="I186" s="7"/>
      <c r="J186" s="7"/>
      <c r="K186" s="9"/>
      <c r="L186" s="10"/>
      <c r="M186" s="10"/>
      <c r="N186" s="10"/>
      <c r="O186" s="10"/>
      <c r="P186" s="11"/>
      <c r="Q186" s="9"/>
      <c r="R186" s="12" t="str">
        <f aca="false">IF(AND(ISNUMBER(K186),ISNUMBER(Q186),K186&gt;0),Q186/K186,"")</f>
        <v/>
      </c>
      <c r="S186" s="11"/>
      <c r="T186" s="9"/>
      <c r="U186" s="10"/>
      <c r="V186" s="11"/>
      <c r="W186" s="11"/>
      <c r="X186" s="11"/>
      <c r="Y186" s="12" t="str">
        <f aca="false">IF(COUNT(V186:X186)=0,"",MAX(0,1-SUM(V186:X186)))</f>
        <v/>
      </c>
      <c r="Z186" s="13"/>
      <c r="AA186" s="9"/>
      <c r="AB186" s="7"/>
      <c r="AC186" s="7"/>
      <c r="AD186" s="7"/>
      <c r="AE186" s="7"/>
      <c r="AF186" s="14" t="str">
        <f aca="false">IF(D186="","",COUNTIF($D$2:D186,D186))</f>
        <v/>
      </c>
      <c r="AG186" s="15" t="str">
        <f aca="false" t="array" ref="AG186:AG186">IF(D186="","",IFERROR(MEDIAN(IF(($D$2:$D$401=D186)*($AF$2:$AF$401&gt;=AF186-5)*($AF$2:$AF$401&lt;=AF186-1)*($M$2:$M$401&lt;&gt;""),$M$2:$M$401)),""))</f>
        <v/>
      </c>
      <c r="AH186" s="16" t="str">
        <f aca="false">IF(AND(ISNUMBER(M186),ISNUMBER(AG186)),IF(AG186&gt;0,M186/AG186,""),"")</f>
        <v/>
      </c>
      <c r="AI186" s="15" t="str">
        <f aca="false" t="array" ref="AI186:AI186">IF(D186="","",IFERROR(MEDIAN(IF(($D$2:$D$401=D186)*($AF$2:$AF$401&gt;=AF186-5)*($AF$2:$AF$401&lt;=AF186-1)*($N$2:$N$401&lt;&gt;""),$N$2:$N$401)),""))</f>
        <v/>
      </c>
      <c r="AJ186" s="16" t="str">
        <f aca="false">IF(AND(ISNUMBER(N186),ISNUMBER(AI186)),IF(AI186&gt;0,N186/AI186,""),"")</f>
        <v/>
      </c>
      <c r="AK186" s="12" t="str">
        <f aca="false" t="array" ref="AK186:AK186">IF(D186="","",IFERROR(MEDIAN(IF(($D$2:$D$401=D186)*ISNUMBER($R$2:$R$401),$R$2:$R$401)),""))</f>
        <v/>
      </c>
      <c r="AL186" s="17" t="str">
        <f aca="false">IF(ISNUMBER(AJ186),IF(AND(AJ186&gt;=Resumen!$C$5,OR(NOT(ISNUMBER(R186)),NOT(ISNUMBER(AK186)),R186&gt;=AK186)),"Ganador",IF(AJ186&lt;=Resumen!$C$6,"Perdedor","Normal")),IF(ISNUMBER(AH186),IF(AH186&gt;=Resumen!$C$5,"Ganador (7 d, provisional)",IF(AH186&lt;=Resumen!$C$6,"Perdedor (7 d, provisional)","Normal (7 d, provisional)")),""))</f>
        <v/>
      </c>
      <c r="AM186" s="18" t="str">
        <f aca="false">IF(AND(ISNUMBER(Z186),ISNUMBER(N186)),IF(N186&gt;0,Z186/N186*1000,""),"")</f>
        <v/>
      </c>
      <c r="AN186" s="19" t="str">
        <f aca="false">IF(AND(ISNUMBER(U186),ISNUMBER(N186)),IF(N186&gt;0,U186/N186*1000,""),"")</f>
        <v/>
      </c>
    </row>
    <row r="187" customFormat="false" ht="15" hidden="false" customHeight="false" outlineLevel="0" collapsed="false">
      <c r="A187" s="7"/>
      <c r="B187" s="7"/>
      <c r="C187" s="8"/>
      <c r="D187" s="7"/>
      <c r="E187" s="7"/>
      <c r="F187" s="7"/>
      <c r="G187" s="7"/>
      <c r="H187" s="7"/>
      <c r="I187" s="7"/>
      <c r="J187" s="7"/>
      <c r="K187" s="9"/>
      <c r="L187" s="10"/>
      <c r="M187" s="10"/>
      <c r="N187" s="10"/>
      <c r="O187" s="10"/>
      <c r="P187" s="11"/>
      <c r="Q187" s="9"/>
      <c r="R187" s="12" t="str">
        <f aca="false">IF(AND(ISNUMBER(K187),ISNUMBER(Q187),K187&gt;0),Q187/K187,"")</f>
        <v/>
      </c>
      <c r="S187" s="11"/>
      <c r="T187" s="9"/>
      <c r="U187" s="10"/>
      <c r="V187" s="11"/>
      <c r="W187" s="11"/>
      <c r="X187" s="11"/>
      <c r="Y187" s="12" t="str">
        <f aca="false">IF(COUNT(V187:X187)=0,"",MAX(0,1-SUM(V187:X187)))</f>
        <v/>
      </c>
      <c r="Z187" s="13"/>
      <c r="AA187" s="9"/>
      <c r="AB187" s="7"/>
      <c r="AC187" s="7"/>
      <c r="AD187" s="7"/>
      <c r="AE187" s="7"/>
      <c r="AF187" s="14" t="str">
        <f aca="false">IF(D187="","",COUNTIF($D$2:D187,D187))</f>
        <v/>
      </c>
      <c r="AG187" s="15" t="str">
        <f aca="false" t="array" ref="AG187:AG187">IF(D187="","",IFERROR(MEDIAN(IF(($D$2:$D$401=D187)*($AF$2:$AF$401&gt;=AF187-5)*($AF$2:$AF$401&lt;=AF187-1)*($M$2:$M$401&lt;&gt;""),$M$2:$M$401)),""))</f>
        <v/>
      </c>
      <c r="AH187" s="16" t="str">
        <f aca="false">IF(AND(ISNUMBER(M187),ISNUMBER(AG187)),IF(AG187&gt;0,M187/AG187,""),"")</f>
        <v/>
      </c>
      <c r="AI187" s="15" t="str">
        <f aca="false" t="array" ref="AI187:AI187">IF(D187="","",IFERROR(MEDIAN(IF(($D$2:$D$401=D187)*($AF$2:$AF$401&gt;=AF187-5)*($AF$2:$AF$401&lt;=AF187-1)*($N$2:$N$401&lt;&gt;""),$N$2:$N$401)),""))</f>
        <v/>
      </c>
      <c r="AJ187" s="16" t="str">
        <f aca="false">IF(AND(ISNUMBER(N187),ISNUMBER(AI187)),IF(AI187&gt;0,N187/AI187,""),"")</f>
        <v/>
      </c>
      <c r="AK187" s="12" t="str">
        <f aca="false" t="array" ref="AK187:AK187">IF(D187="","",IFERROR(MEDIAN(IF(($D$2:$D$401=D187)*ISNUMBER($R$2:$R$401),$R$2:$R$401)),""))</f>
        <v/>
      </c>
      <c r="AL187" s="17" t="str">
        <f aca="false">IF(ISNUMBER(AJ187),IF(AND(AJ187&gt;=Resumen!$C$5,OR(NOT(ISNUMBER(R187)),NOT(ISNUMBER(AK187)),R187&gt;=AK187)),"Ganador",IF(AJ187&lt;=Resumen!$C$6,"Perdedor","Normal")),IF(ISNUMBER(AH187),IF(AH187&gt;=Resumen!$C$5,"Ganador (7 d, provisional)",IF(AH187&lt;=Resumen!$C$6,"Perdedor (7 d, provisional)","Normal (7 d, provisional)")),""))</f>
        <v/>
      </c>
      <c r="AM187" s="18" t="str">
        <f aca="false">IF(AND(ISNUMBER(Z187),ISNUMBER(N187)),IF(N187&gt;0,Z187/N187*1000,""),"")</f>
        <v/>
      </c>
      <c r="AN187" s="19" t="str">
        <f aca="false">IF(AND(ISNUMBER(U187),ISNUMBER(N187)),IF(N187&gt;0,U187/N187*1000,""),"")</f>
        <v/>
      </c>
    </row>
    <row r="188" customFormat="false" ht="15" hidden="false" customHeight="false" outlineLevel="0" collapsed="false">
      <c r="A188" s="7"/>
      <c r="B188" s="7"/>
      <c r="C188" s="8"/>
      <c r="D188" s="7"/>
      <c r="E188" s="7"/>
      <c r="F188" s="7"/>
      <c r="G188" s="7"/>
      <c r="H188" s="7"/>
      <c r="I188" s="7"/>
      <c r="J188" s="7"/>
      <c r="K188" s="9"/>
      <c r="L188" s="10"/>
      <c r="M188" s="10"/>
      <c r="N188" s="10"/>
      <c r="O188" s="10"/>
      <c r="P188" s="11"/>
      <c r="Q188" s="9"/>
      <c r="R188" s="12" t="str">
        <f aca="false">IF(AND(ISNUMBER(K188),ISNUMBER(Q188),K188&gt;0),Q188/K188,"")</f>
        <v/>
      </c>
      <c r="S188" s="11"/>
      <c r="T188" s="9"/>
      <c r="U188" s="10"/>
      <c r="V188" s="11"/>
      <c r="W188" s="11"/>
      <c r="X188" s="11"/>
      <c r="Y188" s="12" t="str">
        <f aca="false">IF(COUNT(V188:X188)=0,"",MAX(0,1-SUM(V188:X188)))</f>
        <v/>
      </c>
      <c r="Z188" s="13"/>
      <c r="AA188" s="9"/>
      <c r="AB188" s="7"/>
      <c r="AC188" s="7"/>
      <c r="AD188" s="7"/>
      <c r="AE188" s="7"/>
      <c r="AF188" s="14" t="str">
        <f aca="false">IF(D188="","",COUNTIF($D$2:D188,D188))</f>
        <v/>
      </c>
      <c r="AG188" s="15" t="str">
        <f aca="false" t="array" ref="AG188:AG188">IF(D188="","",IFERROR(MEDIAN(IF(($D$2:$D$401=D188)*($AF$2:$AF$401&gt;=AF188-5)*($AF$2:$AF$401&lt;=AF188-1)*($M$2:$M$401&lt;&gt;""),$M$2:$M$401)),""))</f>
        <v/>
      </c>
      <c r="AH188" s="16" t="str">
        <f aca="false">IF(AND(ISNUMBER(M188),ISNUMBER(AG188)),IF(AG188&gt;0,M188/AG188,""),"")</f>
        <v/>
      </c>
      <c r="AI188" s="15" t="str">
        <f aca="false" t="array" ref="AI188:AI188">IF(D188="","",IFERROR(MEDIAN(IF(($D$2:$D$401=D188)*($AF$2:$AF$401&gt;=AF188-5)*($AF$2:$AF$401&lt;=AF188-1)*($N$2:$N$401&lt;&gt;""),$N$2:$N$401)),""))</f>
        <v/>
      </c>
      <c r="AJ188" s="16" t="str">
        <f aca="false">IF(AND(ISNUMBER(N188),ISNUMBER(AI188)),IF(AI188&gt;0,N188/AI188,""),"")</f>
        <v/>
      </c>
      <c r="AK188" s="12" t="str">
        <f aca="false" t="array" ref="AK188:AK188">IF(D188="","",IFERROR(MEDIAN(IF(($D$2:$D$401=D188)*ISNUMBER($R$2:$R$401),$R$2:$R$401)),""))</f>
        <v/>
      </c>
      <c r="AL188" s="17" t="str">
        <f aca="false">IF(ISNUMBER(AJ188),IF(AND(AJ188&gt;=Resumen!$C$5,OR(NOT(ISNUMBER(R188)),NOT(ISNUMBER(AK188)),R188&gt;=AK188)),"Ganador",IF(AJ188&lt;=Resumen!$C$6,"Perdedor","Normal")),IF(ISNUMBER(AH188),IF(AH188&gt;=Resumen!$C$5,"Ganador (7 d, provisional)",IF(AH188&lt;=Resumen!$C$6,"Perdedor (7 d, provisional)","Normal (7 d, provisional)")),""))</f>
        <v/>
      </c>
      <c r="AM188" s="18" t="str">
        <f aca="false">IF(AND(ISNUMBER(Z188),ISNUMBER(N188)),IF(N188&gt;0,Z188/N188*1000,""),"")</f>
        <v/>
      </c>
      <c r="AN188" s="19" t="str">
        <f aca="false">IF(AND(ISNUMBER(U188),ISNUMBER(N188)),IF(N188&gt;0,U188/N188*1000,""),"")</f>
        <v/>
      </c>
    </row>
    <row r="189" customFormat="false" ht="15" hidden="false" customHeight="false" outlineLevel="0" collapsed="false">
      <c r="A189" s="7"/>
      <c r="B189" s="7"/>
      <c r="C189" s="8"/>
      <c r="D189" s="7"/>
      <c r="E189" s="7"/>
      <c r="F189" s="7"/>
      <c r="G189" s="7"/>
      <c r="H189" s="7"/>
      <c r="I189" s="7"/>
      <c r="J189" s="7"/>
      <c r="K189" s="9"/>
      <c r="L189" s="10"/>
      <c r="M189" s="10"/>
      <c r="N189" s="10"/>
      <c r="O189" s="10"/>
      <c r="P189" s="11"/>
      <c r="Q189" s="9"/>
      <c r="R189" s="12" t="str">
        <f aca="false">IF(AND(ISNUMBER(K189),ISNUMBER(Q189),K189&gt;0),Q189/K189,"")</f>
        <v/>
      </c>
      <c r="S189" s="11"/>
      <c r="T189" s="9"/>
      <c r="U189" s="10"/>
      <c r="V189" s="11"/>
      <c r="W189" s="11"/>
      <c r="X189" s="11"/>
      <c r="Y189" s="12" t="str">
        <f aca="false">IF(COUNT(V189:X189)=0,"",MAX(0,1-SUM(V189:X189)))</f>
        <v/>
      </c>
      <c r="Z189" s="13"/>
      <c r="AA189" s="9"/>
      <c r="AB189" s="7"/>
      <c r="AC189" s="7"/>
      <c r="AD189" s="7"/>
      <c r="AE189" s="7"/>
      <c r="AF189" s="14" t="str">
        <f aca="false">IF(D189="","",COUNTIF($D$2:D189,D189))</f>
        <v/>
      </c>
      <c r="AG189" s="15" t="str">
        <f aca="false" t="array" ref="AG189:AG189">IF(D189="","",IFERROR(MEDIAN(IF(($D$2:$D$401=D189)*($AF$2:$AF$401&gt;=AF189-5)*($AF$2:$AF$401&lt;=AF189-1)*($M$2:$M$401&lt;&gt;""),$M$2:$M$401)),""))</f>
        <v/>
      </c>
      <c r="AH189" s="16" t="str">
        <f aca="false">IF(AND(ISNUMBER(M189),ISNUMBER(AG189)),IF(AG189&gt;0,M189/AG189,""),"")</f>
        <v/>
      </c>
      <c r="AI189" s="15" t="str">
        <f aca="false" t="array" ref="AI189:AI189">IF(D189="","",IFERROR(MEDIAN(IF(($D$2:$D$401=D189)*($AF$2:$AF$401&gt;=AF189-5)*($AF$2:$AF$401&lt;=AF189-1)*($N$2:$N$401&lt;&gt;""),$N$2:$N$401)),""))</f>
        <v/>
      </c>
      <c r="AJ189" s="16" t="str">
        <f aca="false">IF(AND(ISNUMBER(N189),ISNUMBER(AI189)),IF(AI189&gt;0,N189/AI189,""),"")</f>
        <v/>
      </c>
      <c r="AK189" s="12" t="str">
        <f aca="false" t="array" ref="AK189:AK189">IF(D189="","",IFERROR(MEDIAN(IF(($D$2:$D$401=D189)*ISNUMBER($R$2:$R$401),$R$2:$R$401)),""))</f>
        <v/>
      </c>
      <c r="AL189" s="17" t="str">
        <f aca="false">IF(ISNUMBER(AJ189),IF(AND(AJ189&gt;=Resumen!$C$5,OR(NOT(ISNUMBER(R189)),NOT(ISNUMBER(AK189)),R189&gt;=AK189)),"Ganador",IF(AJ189&lt;=Resumen!$C$6,"Perdedor","Normal")),IF(ISNUMBER(AH189),IF(AH189&gt;=Resumen!$C$5,"Ganador (7 d, provisional)",IF(AH189&lt;=Resumen!$C$6,"Perdedor (7 d, provisional)","Normal (7 d, provisional)")),""))</f>
        <v/>
      </c>
      <c r="AM189" s="18" t="str">
        <f aca="false">IF(AND(ISNUMBER(Z189),ISNUMBER(N189)),IF(N189&gt;0,Z189/N189*1000,""),"")</f>
        <v/>
      </c>
      <c r="AN189" s="19" t="str">
        <f aca="false">IF(AND(ISNUMBER(U189),ISNUMBER(N189)),IF(N189&gt;0,U189/N189*1000,""),"")</f>
        <v/>
      </c>
    </row>
    <row r="190" customFormat="false" ht="15" hidden="false" customHeight="false" outlineLevel="0" collapsed="false">
      <c r="A190" s="7"/>
      <c r="B190" s="7"/>
      <c r="C190" s="8"/>
      <c r="D190" s="7"/>
      <c r="E190" s="7"/>
      <c r="F190" s="7"/>
      <c r="G190" s="7"/>
      <c r="H190" s="7"/>
      <c r="I190" s="7"/>
      <c r="J190" s="7"/>
      <c r="K190" s="9"/>
      <c r="L190" s="10"/>
      <c r="M190" s="10"/>
      <c r="N190" s="10"/>
      <c r="O190" s="10"/>
      <c r="P190" s="11"/>
      <c r="Q190" s="9"/>
      <c r="R190" s="12" t="str">
        <f aca="false">IF(AND(ISNUMBER(K190),ISNUMBER(Q190),K190&gt;0),Q190/K190,"")</f>
        <v/>
      </c>
      <c r="S190" s="11"/>
      <c r="T190" s="9"/>
      <c r="U190" s="10"/>
      <c r="V190" s="11"/>
      <c r="W190" s="11"/>
      <c r="X190" s="11"/>
      <c r="Y190" s="12" t="str">
        <f aca="false">IF(COUNT(V190:X190)=0,"",MAX(0,1-SUM(V190:X190)))</f>
        <v/>
      </c>
      <c r="Z190" s="13"/>
      <c r="AA190" s="9"/>
      <c r="AB190" s="7"/>
      <c r="AC190" s="7"/>
      <c r="AD190" s="7"/>
      <c r="AE190" s="7"/>
      <c r="AF190" s="14" t="str">
        <f aca="false">IF(D190="","",COUNTIF($D$2:D190,D190))</f>
        <v/>
      </c>
      <c r="AG190" s="15" t="str">
        <f aca="false" t="array" ref="AG190:AG190">IF(D190="","",IFERROR(MEDIAN(IF(($D$2:$D$401=D190)*($AF$2:$AF$401&gt;=AF190-5)*($AF$2:$AF$401&lt;=AF190-1)*($M$2:$M$401&lt;&gt;""),$M$2:$M$401)),""))</f>
        <v/>
      </c>
      <c r="AH190" s="16" t="str">
        <f aca="false">IF(AND(ISNUMBER(M190),ISNUMBER(AG190)),IF(AG190&gt;0,M190/AG190,""),"")</f>
        <v/>
      </c>
      <c r="AI190" s="15" t="str">
        <f aca="false" t="array" ref="AI190:AI190">IF(D190="","",IFERROR(MEDIAN(IF(($D$2:$D$401=D190)*($AF$2:$AF$401&gt;=AF190-5)*($AF$2:$AF$401&lt;=AF190-1)*($N$2:$N$401&lt;&gt;""),$N$2:$N$401)),""))</f>
        <v/>
      </c>
      <c r="AJ190" s="16" t="str">
        <f aca="false">IF(AND(ISNUMBER(N190),ISNUMBER(AI190)),IF(AI190&gt;0,N190/AI190,""),"")</f>
        <v/>
      </c>
      <c r="AK190" s="12" t="str">
        <f aca="false" t="array" ref="AK190:AK190">IF(D190="","",IFERROR(MEDIAN(IF(($D$2:$D$401=D190)*ISNUMBER($R$2:$R$401),$R$2:$R$401)),""))</f>
        <v/>
      </c>
      <c r="AL190" s="17" t="str">
        <f aca="false">IF(ISNUMBER(AJ190),IF(AND(AJ190&gt;=Resumen!$C$5,OR(NOT(ISNUMBER(R190)),NOT(ISNUMBER(AK190)),R190&gt;=AK190)),"Ganador",IF(AJ190&lt;=Resumen!$C$6,"Perdedor","Normal")),IF(ISNUMBER(AH190),IF(AH190&gt;=Resumen!$C$5,"Ganador (7 d, provisional)",IF(AH190&lt;=Resumen!$C$6,"Perdedor (7 d, provisional)","Normal (7 d, provisional)")),""))</f>
        <v/>
      </c>
      <c r="AM190" s="18" t="str">
        <f aca="false">IF(AND(ISNUMBER(Z190),ISNUMBER(N190)),IF(N190&gt;0,Z190/N190*1000,""),"")</f>
        <v/>
      </c>
      <c r="AN190" s="19" t="str">
        <f aca="false">IF(AND(ISNUMBER(U190),ISNUMBER(N190)),IF(N190&gt;0,U190/N190*1000,""),"")</f>
        <v/>
      </c>
    </row>
    <row r="191" customFormat="false" ht="15" hidden="false" customHeight="false" outlineLevel="0" collapsed="false">
      <c r="A191" s="7"/>
      <c r="B191" s="7"/>
      <c r="C191" s="8"/>
      <c r="D191" s="7"/>
      <c r="E191" s="7"/>
      <c r="F191" s="7"/>
      <c r="G191" s="7"/>
      <c r="H191" s="7"/>
      <c r="I191" s="7"/>
      <c r="J191" s="7"/>
      <c r="K191" s="9"/>
      <c r="L191" s="10"/>
      <c r="M191" s="10"/>
      <c r="N191" s="10"/>
      <c r="O191" s="10"/>
      <c r="P191" s="11"/>
      <c r="Q191" s="9"/>
      <c r="R191" s="12" t="str">
        <f aca="false">IF(AND(ISNUMBER(K191),ISNUMBER(Q191),K191&gt;0),Q191/K191,"")</f>
        <v/>
      </c>
      <c r="S191" s="11"/>
      <c r="T191" s="9"/>
      <c r="U191" s="10"/>
      <c r="V191" s="11"/>
      <c r="W191" s="11"/>
      <c r="X191" s="11"/>
      <c r="Y191" s="12" t="str">
        <f aca="false">IF(COUNT(V191:X191)=0,"",MAX(0,1-SUM(V191:X191)))</f>
        <v/>
      </c>
      <c r="Z191" s="13"/>
      <c r="AA191" s="9"/>
      <c r="AB191" s="7"/>
      <c r="AC191" s="7"/>
      <c r="AD191" s="7"/>
      <c r="AE191" s="7"/>
      <c r="AF191" s="14" t="str">
        <f aca="false">IF(D191="","",COUNTIF($D$2:D191,D191))</f>
        <v/>
      </c>
      <c r="AG191" s="15" t="str">
        <f aca="false" t="array" ref="AG191:AG191">IF(D191="","",IFERROR(MEDIAN(IF(($D$2:$D$401=D191)*($AF$2:$AF$401&gt;=AF191-5)*($AF$2:$AF$401&lt;=AF191-1)*($M$2:$M$401&lt;&gt;""),$M$2:$M$401)),""))</f>
        <v/>
      </c>
      <c r="AH191" s="16" t="str">
        <f aca="false">IF(AND(ISNUMBER(M191),ISNUMBER(AG191)),IF(AG191&gt;0,M191/AG191,""),"")</f>
        <v/>
      </c>
      <c r="AI191" s="15" t="str">
        <f aca="false" t="array" ref="AI191:AI191">IF(D191="","",IFERROR(MEDIAN(IF(($D$2:$D$401=D191)*($AF$2:$AF$401&gt;=AF191-5)*($AF$2:$AF$401&lt;=AF191-1)*($N$2:$N$401&lt;&gt;""),$N$2:$N$401)),""))</f>
        <v/>
      </c>
      <c r="AJ191" s="16" t="str">
        <f aca="false">IF(AND(ISNUMBER(N191),ISNUMBER(AI191)),IF(AI191&gt;0,N191/AI191,""),"")</f>
        <v/>
      </c>
      <c r="AK191" s="12" t="str">
        <f aca="false" t="array" ref="AK191:AK191">IF(D191="","",IFERROR(MEDIAN(IF(($D$2:$D$401=D191)*ISNUMBER($R$2:$R$401),$R$2:$R$401)),""))</f>
        <v/>
      </c>
      <c r="AL191" s="17" t="str">
        <f aca="false">IF(ISNUMBER(AJ191),IF(AND(AJ191&gt;=Resumen!$C$5,OR(NOT(ISNUMBER(R191)),NOT(ISNUMBER(AK191)),R191&gt;=AK191)),"Ganador",IF(AJ191&lt;=Resumen!$C$6,"Perdedor","Normal")),IF(ISNUMBER(AH191),IF(AH191&gt;=Resumen!$C$5,"Ganador (7 d, provisional)",IF(AH191&lt;=Resumen!$C$6,"Perdedor (7 d, provisional)","Normal (7 d, provisional)")),""))</f>
        <v/>
      </c>
      <c r="AM191" s="18" t="str">
        <f aca="false">IF(AND(ISNUMBER(Z191),ISNUMBER(N191)),IF(N191&gt;0,Z191/N191*1000,""),"")</f>
        <v/>
      </c>
      <c r="AN191" s="19" t="str">
        <f aca="false">IF(AND(ISNUMBER(U191),ISNUMBER(N191)),IF(N191&gt;0,U191/N191*1000,""),"")</f>
        <v/>
      </c>
    </row>
    <row r="192" customFormat="false" ht="15" hidden="false" customHeight="false" outlineLevel="0" collapsed="false">
      <c r="A192" s="7"/>
      <c r="B192" s="7"/>
      <c r="C192" s="8"/>
      <c r="D192" s="7"/>
      <c r="E192" s="7"/>
      <c r="F192" s="7"/>
      <c r="G192" s="7"/>
      <c r="H192" s="7"/>
      <c r="I192" s="7"/>
      <c r="J192" s="7"/>
      <c r="K192" s="9"/>
      <c r="L192" s="10"/>
      <c r="M192" s="10"/>
      <c r="N192" s="10"/>
      <c r="O192" s="10"/>
      <c r="P192" s="11"/>
      <c r="Q192" s="9"/>
      <c r="R192" s="12" t="str">
        <f aca="false">IF(AND(ISNUMBER(K192),ISNUMBER(Q192),K192&gt;0),Q192/K192,"")</f>
        <v/>
      </c>
      <c r="S192" s="11"/>
      <c r="T192" s="9"/>
      <c r="U192" s="10"/>
      <c r="V192" s="11"/>
      <c r="W192" s="11"/>
      <c r="X192" s="11"/>
      <c r="Y192" s="12" t="str">
        <f aca="false">IF(COUNT(V192:X192)=0,"",MAX(0,1-SUM(V192:X192)))</f>
        <v/>
      </c>
      <c r="Z192" s="13"/>
      <c r="AA192" s="9"/>
      <c r="AB192" s="7"/>
      <c r="AC192" s="7"/>
      <c r="AD192" s="7"/>
      <c r="AE192" s="7"/>
      <c r="AF192" s="14" t="str">
        <f aca="false">IF(D192="","",COUNTIF($D$2:D192,D192))</f>
        <v/>
      </c>
      <c r="AG192" s="15" t="str">
        <f aca="false" t="array" ref="AG192:AG192">IF(D192="","",IFERROR(MEDIAN(IF(($D$2:$D$401=D192)*($AF$2:$AF$401&gt;=AF192-5)*($AF$2:$AF$401&lt;=AF192-1)*($M$2:$M$401&lt;&gt;""),$M$2:$M$401)),""))</f>
        <v/>
      </c>
      <c r="AH192" s="16" t="str">
        <f aca="false">IF(AND(ISNUMBER(M192),ISNUMBER(AG192)),IF(AG192&gt;0,M192/AG192,""),"")</f>
        <v/>
      </c>
      <c r="AI192" s="15" t="str">
        <f aca="false" t="array" ref="AI192:AI192">IF(D192="","",IFERROR(MEDIAN(IF(($D$2:$D$401=D192)*($AF$2:$AF$401&gt;=AF192-5)*($AF$2:$AF$401&lt;=AF192-1)*($N$2:$N$401&lt;&gt;""),$N$2:$N$401)),""))</f>
        <v/>
      </c>
      <c r="AJ192" s="16" t="str">
        <f aca="false">IF(AND(ISNUMBER(N192),ISNUMBER(AI192)),IF(AI192&gt;0,N192/AI192,""),"")</f>
        <v/>
      </c>
      <c r="AK192" s="12" t="str">
        <f aca="false" t="array" ref="AK192:AK192">IF(D192="","",IFERROR(MEDIAN(IF(($D$2:$D$401=D192)*ISNUMBER($R$2:$R$401),$R$2:$R$401)),""))</f>
        <v/>
      </c>
      <c r="AL192" s="17" t="str">
        <f aca="false">IF(ISNUMBER(AJ192),IF(AND(AJ192&gt;=Resumen!$C$5,OR(NOT(ISNUMBER(R192)),NOT(ISNUMBER(AK192)),R192&gt;=AK192)),"Ganador",IF(AJ192&lt;=Resumen!$C$6,"Perdedor","Normal")),IF(ISNUMBER(AH192),IF(AH192&gt;=Resumen!$C$5,"Ganador (7 d, provisional)",IF(AH192&lt;=Resumen!$C$6,"Perdedor (7 d, provisional)","Normal (7 d, provisional)")),""))</f>
        <v/>
      </c>
      <c r="AM192" s="18" t="str">
        <f aca="false">IF(AND(ISNUMBER(Z192),ISNUMBER(N192)),IF(N192&gt;0,Z192/N192*1000,""),"")</f>
        <v/>
      </c>
      <c r="AN192" s="19" t="str">
        <f aca="false">IF(AND(ISNUMBER(U192),ISNUMBER(N192)),IF(N192&gt;0,U192/N192*1000,""),"")</f>
        <v/>
      </c>
    </row>
    <row r="193" customFormat="false" ht="15" hidden="false" customHeight="false" outlineLevel="0" collapsed="false">
      <c r="A193" s="7"/>
      <c r="B193" s="7"/>
      <c r="C193" s="8"/>
      <c r="D193" s="7"/>
      <c r="E193" s="7"/>
      <c r="F193" s="7"/>
      <c r="G193" s="7"/>
      <c r="H193" s="7"/>
      <c r="I193" s="7"/>
      <c r="J193" s="7"/>
      <c r="K193" s="9"/>
      <c r="L193" s="10"/>
      <c r="M193" s="10"/>
      <c r="N193" s="10"/>
      <c r="O193" s="10"/>
      <c r="P193" s="11"/>
      <c r="Q193" s="9"/>
      <c r="R193" s="12" t="str">
        <f aca="false">IF(AND(ISNUMBER(K193),ISNUMBER(Q193),K193&gt;0),Q193/K193,"")</f>
        <v/>
      </c>
      <c r="S193" s="11"/>
      <c r="T193" s="9"/>
      <c r="U193" s="10"/>
      <c r="V193" s="11"/>
      <c r="W193" s="11"/>
      <c r="X193" s="11"/>
      <c r="Y193" s="12" t="str">
        <f aca="false">IF(COUNT(V193:X193)=0,"",MAX(0,1-SUM(V193:X193)))</f>
        <v/>
      </c>
      <c r="Z193" s="13"/>
      <c r="AA193" s="9"/>
      <c r="AB193" s="7"/>
      <c r="AC193" s="7"/>
      <c r="AD193" s="7"/>
      <c r="AE193" s="7"/>
      <c r="AF193" s="14" t="str">
        <f aca="false">IF(D193="","",COUNTIF($D$2:D193,D193))</f>
        <v/>
      </c>
      <c r="AG193" s="15" t="str">
        <f aca="false" t="array" ref="AG193:AG193">IF(D193="","",IFERROR(MEDIAN(IF(($D$2:$D$401=D193)*($AF$2:$AF$401&gt;=AF193-5)*($AF$2:$AF$401&lt;=AF193-1)*($M$2:$M$401&lt;&gt;""),$M$2:$M$401)),""))</f>
        <v/>
      </c>
      <c r="AH193" s="16" t="str">
        <f aca="false">IF(AND(ISNUMBER(M193),ISNUMBER(AG193)),IF(AG193&gt;0,M193/AG193,""),"")</f>
        <v/>
      </c>
      <c r="AI193" s="15" t="str">
        <f aca="false" t="array" ref="AI193:AI193">IF(D193="","",IFERROR(MEDIAN(IF(($D$2:$D$401=D193)*($AF$2:$AF$401&gt;=AF193-5)*($AF$2:$AF$401&lt;=AF193-1)*($N$2:$N$401&lt;&gt;""),$N$2:$N$401)),""))</f>
        <v/>
      </c>
      <c r="AJ193" s="16" t="str">
        <f aca="false">IF(AND(ISNUMBER(N193),ISNUMBER(AI193)),IF(AI193&gt;0,N193/AI193,""),"")</f>
        <v/>
      </c>
      <c r="AK193" s="12" t="str">
        <f aca="false" t="array" ref="AK193:AK193">IF(D193="","",IFERROR(MEDIAN(IF(($D$2:$D$401=D193)*ISNUMBER($R$2:$R$401),$R$2:$R$401)),""))</f>
        <v/>
      </c>
      <c r="AL193" s="17" t="str">
        <f aca="false">IF(ISNUMBER(AJ193),IF(AND(AJ193&gt;=Resumen!$C$5,OR(NOT(ISNUMBER(R193)),NOT(ISNUMBER(AK193)),R193&gt;=AK193)),"Ganador",IF(AJ193&lt;=Resumen!$C$6,"Perdedor","Normal")),IF(ISNUMBER(AH193),IF(AH193&gt;=Resumen!$C$5,"Ganador (7 d, provisional)",IF(AH193&lt;=Resumen!$C$6,"Perdedor (7 d, provisional)","Normal (7 d, provisional)")),""))</f>
        <v/>
      </c>
      <c r="AM193" s="18" t="str">
        <f aca="false">IF(AND(ISNUMBER(Z193),ISNUMBER(N193)),IF(N193&gt;0,Z193/N193*1000,""),"")</f>
        <v/>
      </c>
      <c r="AN193" s="19" t="str">
        <f aca="false">IF(AND(ISNUMBER(U193),ISNUMBER(N193)),IF(N193&gt;0,U193/N193*1000,""),"")</f>
        <v/>
      </c>
    </row>
    <row r="194" customFormat="false" ht="15" hidden="false" customHeight="false" outlineLevel="0" collapsed="false">
      <c r="A194" s="7"/>
      <c r="B194" s="7"/>
      <c r="C194" s="8"/>
      <c r="D194" s="7"/>
      <c r="E194" s="7"/>
      <c r="F194" s="7"/>
      <c r="G194" s="7"/>
      <c r="H194" s="7"/>
      <c r="I194" s="7"/>
      <c r="J194" s="7"/>
      <c r="K194" s="9"/>
      <c r="L194" s="10"/>
      <c r="M194" s="10"/>
      <c r="N194" s="10"/>
      <c r="O194" s="10"/>
      <c r="P194" s="11"/>
      <c r="Q194" s="9"/>
      <c r="R194" s="12" t="str">
        <f aca="false">IF(AND(ISNUMBER(K194),ISNUMBER(Q194),K194&gt;0),Q194/K194,"")</f>
        <v/>
      </c>
      <c r="S194" s="11"/>
      <c r="T194" s="9"/>
      <c r="U194" s="10"/>
      <c r="V194" s="11"/>
      <c r="W194" s="11"/>
      <c r="X194" s="11"/>
      <c r="Y194" s="12" t="str">
        <f aca="false">IF(COUNT(V194:X194)=0,"",MAX(0,1-SUM(V194:X194)))</f>
        <v/>
      </c>
      <c r="Z194" s="13"/>
      <c r="AA194" s="9"/>
      <c r="AB194" s="7"/>
      <c r="AC194" s="7"/>
      <c r="AD194" s="7"/>
      <c r="AE194" s="7"/>
      <c r="AF194" s="14" t="str">
        <f aca="false">IF(D194="","",COUNTIF($D$2:D194,D194))</f>
        <v/>
      </c>
      <c r="AG194" s="15" t="str">
        <f aca="false" t="array" ref="AG194:AG194">IF(D194="","",IFERROR(MEDIAN(IF(($D$2:$D$401=D194)*($AF$2:$AF$401&gt;=AF194-5)*($AF$2:$AF$401&lt;=AF194-1)*($M$2:$M$401&lt;&gt;""),$M$2:$M$401)),""))</f>
        <v/>
      </c>
      <c r="AH194" s="16" t="str">
        <f aca="false">IF(AND(ISNUMBER(M194),ISNUMBER(AG194)),IF(AG194&gt;0,M194/AG194,""),"")</f>
        <v/>
      </c>
      <c r="AI194" s="15" t="str">
        <f aca="false" t="array" ref="AI194:AI194">IF(D194="","",IFERROR(MEDIAN(IF(($D$2:$D$401=D194)*($AF$2:$AF$401&gt;=AF194-5)*($AF$2:$AF$401&lt;=AF194-1)*($N$2:$N$401&lt;&gt;""),$N$2:$N$401)),""))</f>
        <v/>
      </c>
      <c r="AJ194" s="16" t="str">
        <f aca="false">IF(AND(ISNUMBER(N194),ISNUMBER(AI194)),IF(AI194&gt;0,N194/AI194,""),"")</f>
        <v/>
      </c>
      <c r="AK194" s="12" t="str">
        <f aca="false" t="array" ref="AK194:AK194">IF(D194="","",IFERROR(MEDIAN(IF(($D$2:$D$401=D194)*ISNUMBER($R$2:$R$401),$R$2:$R$401)),""))</f>
        <v/>
      </c>
      <c r="AL194" s="17" t="str">
        <f aca="false">IF(ISNUMBER(AJ194),IF(AND(AJ194&gt;=Resumen!$C$5,OR(NOT(ISNUMBER(R194)),NOT(ISNUMBER(AK194)),R194&gt;=AK194)),"Ganador",IF(AJ194&lt;=Resumen!$C$6,"Perdedor","Normal")),IF(ISNUMBER(AH194),IF(AH194&gt;=Resumen!$C$5,"Ganador (7 d, provisional)",IF(AH194&lt;=Resumen!$C$6,"Perdedor (7 d, provisional)","Normal (7 d, provisional)")),""))</f>
        <v/>
      </c>
      <c r="AM194" s="18" t="str">
        <f aca="false">IF(AND(ISNUMBER(Z194),ISNUMBER(N194)),IF(N194&gt;0,Z194/N194*1000,""),"")</f>
        <v/>
      </c>
      <c r="AN194" s="19" t="str">
        <f aca="false">IF(AND(ISNUMBER(U194),ISNUMBER(N194)),IF(N194&gt;0,U194/N194*1000,""),"")</f>
        <v/>
      </c>
    </row>
    <row r="195" customFormat="false" ht="15" hidden="false" customHeight="false" outlineLevel="0" collapsed="false">
      <c r="A195" s="7"/>
      <c r="B195" s="7"/>
      <c r="C195" s="8"/>
      <c r="D195" s="7"/>
      <c r="E195" s="7"/>
      <c r="F195" s="7"/>
      <c r="G195" s="7"/>
      <c r="H195" s="7"/>
      <c r="I195" s="7"/>
      <c r="J195" s="7"/>
      <c r="K195" s="9"/>
      <c r="L195" s="10"/>
      <c r="M195" s="10"/>
      <c r="N195" s="10"/>
      <c r="O195" s="10"/>
      <c r="P195" s="11"/>
      <c r="Q195" s="9"/>
      <c r="R195" s="12" t="str">
        <f aca="false">IF(AND(ISNUMBER(K195),ISNUMBER(Q195),K195&gt;0),Q195/K195,"")</f>
        <v/>
      </c>
      <c r="S195" s="11"/>
      <c r="T195" s="9"/>
      <c r="U195" s="10"/>
      <c r="V195" s="11"/>
      <c r="W195" s="11"/>
      <c r="X195" s="11"/>
      <c r="Y195" s="12" t="str">
        <f aca="false">IF(COUNT(V195:X195)=0,"",MAX(0,1-SUM(V195:X195)))</f>
        <v/>
      </c>
      <c r="Z195" s="13"/>
      <c r="AA195" s="9"/>
      <c r="AB195" s="7"/>
      <c r="AC195" s="7"/>
      <c r="AD195" s="7"/>
      <c r="AE195" s="7"/>
      <c r="AF195" s="14" t="str">
        <f aca="false">IF(D195="","",COUNTIF($D$2:D195,D195))</f>
        <v/>
      </c>
      <c r="AG195" s="15" t="str">
        <f aca="false" t="array" ref="AG195:AG195">IF(D195="","",IFERROR(MEDIAN(IF(($D$2:$D$401=D195)*($AF$2:$AF$401&gt;=AF195-5)*($AF$2:$AF$401&lt;=AF195-1)*($M$2:$M$401&lt;&gt;""),$M$2:$M$401)),""))</f>
        <v/>
      </c>
      <c r="AH195" s="16" t="str">
        <f aca="false">IF(AND(ISNUMBER(M195),ISNUMBER(AG195)),IF(AG195&gt;0,M195/AG195,""),"")</f>
        <v/>
      </c>
      <c r="AI195" s="15" t="str">
        <f aca="false" t="array" ref="AI195:AI195">IF(D195="","",IFERROR(MEDIAN(IF(($D$2:$D$401=D195)*($AF$2:$AF$401&gt;=AF195-5)*($AF$2:$AF$401&lt;=AF195-1)*($N$2:$N$401&lt;&gt;""),$N$2:$N$401)),""))</f>
        <v/>
      </c>
      <c r="AJ195" s="16" t="str">
        <f aca="false">IF(AND(ISNUMBER(N195),ISNUMBER(AI195)),IF(AI195&gt;0,N195/AI195,""),"")</f>
        <v/>
      </c>
      <c r="AK195" s="12" t="str">
        <f aca="false" t="array" ref="AK195:AK195">IF(D195="","",IFERROR(MEDIAN(IF(($D$2:$D$401=D195)*ISNUMBER($R$2:$R$401),$R$2:$R$401)),""))</f>
        <v/>
      </c>
      <c r="AL195" s="17" t="str">
        <f aca="false">IF(ISNUMBER(AJ195),IF(AND(AJ195&gt;=Resumen!$C$5,OR(NOT(ISNUMBER(R195)),NOT(ISNUMBER(AK195)),R195&gt;=AK195)),"Ganador",IF(AJ195&lt;=Resumen!$C$6,"Perdedor","Normal")),IF(ISNUMBER(AH195),IF(AH195&gt;=Resumen!$C$5,"Ganador (7 d, provisional)",IF(AH195&lt;=Resumen!$C$6,"Perdedor (7 d, provisional)","Normal (7 d, provisional)")),""))</f>
        <v/>
      </c>
      <c r="AM195" s="18" t="str">
        <f aca="false">IF(AND(ISNUMBER(Z195),ISNUMBER(N195)),IF(N195&gt;0,Z195/N195*1000,""),"")</f>
        <v/>
      </c>
      <c r="AN195" s="19" t="str">
        <f aca="false">IF(AND(ISNUMBER(U195),ISNUMBER(N195)),IF(N195&gt;0,U195/N195*1000,""),"")</f>
        <v/>
      </c>
    </row>
    <row r="196" customFormat="false" ht="15" hidden="false" customHeight="false" outlineLevel="0" collapsed="false">
      <c r="A196" s="7"/>
      <c r="B196" s="7"/>
      <c r="C196" s="8"/>
      <c r="D196" s="7"/>
      <c r="E196" s="7"/>
      <c r="F196" s="7"/>
      <c r="G196" s="7"/>
      <c r="H196" s="7"/>
      <c r="I196" s="7"/>
      <c r="J196" s="7"/>
      <c r="K196" s="9"/>
      <c r="L196" s="10"/>
      <c r="M196" s="10"/>
      <c r="N196" s="10"/>
      <c r="O196" s="10"/>
      <c r="P196" s="11"/>
      <c r="Q196" s="9"/>
      <c r="R196" s="12" t="str">
        <f aca="false">IF(AND(ISNUMBER(K196),ISNUMBER(Q196),K196&gt;0),Q196/K196,"")</f>
        <v/>
      </c>
      <c r="S196" s="11"/>
      <c r="T196" s="9"/>
      <c r="U196" s="10"/>
      <c r="V196" s="11"/>
      <c r="W196" s="11"/>
      <c r="X196" s="11"/>
      <c r="Y196" s="12" t="str">
        <f aca="false">IF(COUNT(V196:X196)=0,"",MAX(0,1-SUM(V196:X196)))</f>
        <v/>
      </c>
      <c r="Z196" s="13"/>
      <c r="AA196" s="9"/>
      <c r="AB196" s="7"/>
      <c r="AC196" s="7"/>
      <c r="AD196" s="7"/>
      <c r="AE196" s="7"/>
      <c r="AF196" s="14" t="str">
        <f aca="false">IF(D196="","",COUNTIF($D$2:D196,D196))</f>
        <v/>
      </c>
      <c r="AG196" s="15" t="str">
        <f aca="false" t="array" ref="AG196:AG196">IF(D196="","",IFERROR(MEDIAN(IF(($D$2:$D$401=D196)*($AF$2:$AF$401&gt;=AF196-5)*($AF$2:$AF$401&lt;=AF196-1)*($M$2:$M$401&lt;&gt;""),$M$2:$M$401)),""))</f>
        <v/>
      </c>
      <c r="AH196" s="16" t="str">
        <f aca="false">IF(AND(ISNUMBER(M196),ISNUMBER(AG196)),IF(AG196&gt;0,M196/AG196,""),"")</f>
        <v/>
      </c>
      <c r="AI196" s="15" t="str">
        <f aca="false" t="array" ref="AI196:AI196">IF(D196="","",IFERROR(MEDIAN(IF(($D$2:$D$401=D196)*($AF$2:$AF$401&gt;=AF196-5)*($AF$2:$AF$401&lt;=AF196-1)*($N$2:$N$401&lt;&gt;""),$N$2:$N$401)),""))</f>
        <v/>
      </c>
      <c r="AJ196" s="16" t="str">
        <f aca="false">IF(AND(ISNUMBER(N196),ISNUMBER(AI196)),IF(AI196&gt;0,N196/AI196,""),"")</f>
        <v/>
      </c>
      <c r="AK196" s="12" t="str">
        <f aca="false" t="array" ref="AK196:AK196">IF(D196="","",IFERROR(MEDIAN(IF(($D$2:$D$401=D196)*ISNUMBER($R$2:$R$401),$R$2:$R$401)),""))</f>
        <v/>
      </c>
      <c r="AL196" s="17" t="str">
        <f aca="false">IF(ISNUMBER(AJ196),IF(AND(AJ196&gt;=Resumen!$C$5,OR(NOT(ISNUMBER(R196)),NOT(ISNUMBER(AK196)),R196&gt;=AK196)),"Ganador",IF(AJ196&lt;=Resumen!$C$6,"Perdedor","Normal")),IF(ISNUMBER(AH196),IF(AH196&gt;=Resumen!$C$5,"Ganador (7 d, provisional)",IF(AH196&lt;=Resumen!$C$6,"Perdedor (7 d, provisional)","Normal (7 d, provisional)")),""))</f>
        <v/>
      </c>
      <c r="AM196" s="18" t="str">
        <f aca="false">IF(AND(ISNUMBER(Z196),ISNUMBER(N196)),IF(N196&gt;0,Z196/N196*1000,""),"")</f>
        <v/>
      </c>
      <c r="AN196" s="19" t="str">
        <f aca="false">IF(AND(ISNUMBER(U196),ISNUMBER(N196)),IF(N196&gt;0,U196/N196*1000,""),"")</f>
        <v/>
      </c>
    </row>
    <row r="197" customFormat="false" ht="15" hidden="false" customHeight="false" outlineLevel="0" collapsed="false">
      <c r="A197" s="7"/>
      <c r="B197" s="7"/>
      <c r="C197" s="8"/>
      <c r="D197" s="7"/>
      <c r="E197" s="7"/>
      <c r="F197" s="7"/>
      <c r="G197" s="7"/>
      <c r="H197" s="7"/>
      <c r="I197" s="7"/>
      <c r="J197" s="7"/>
      <c r="K197" s="9"/>
      <c r="L197" s="10"/>
      <c r="M197" s="10"/>
      <c r="N197" s="10"/>
      <c r="O197" s="10"/>
      <c r="P197" s="11"/>
      <c r="Q197" s="9"/>
      <c r="R197" s="12" t="str">
        <f aca="false">IF(AND(ISNUMBER(K197),ISNUMBER(Q197),K197&gt;0),Q197/K197,"")</f>
        <v/>
      </c>
      <c r="S197" s="11"/>
      <c r="T197" s="9"/>
      <c r="U197" s="10"/>
      <c r="V197" s="11"/>
      <c r="W197" s="11"/>
      <c r="X197" s="11"/>
      <c r="Y197" s="12" t="str">
        <f aca="false">IF(COUNT(V197:X197)=0,"",MAX(0,1-SUM(V197:X197)))</f>
        <v/>
      </c>
      <c r="Z197" s="13"/>
      <c r="AA197" s="9"/>
      <c r="AB197" s="7"/>
      <c r="AC197" s="7"/>
      <c r="AD197" s="7"/>
      <c r="AE197" s="7"/>
      <c r="AF197" s="14" t="str">
        <f aca="false">IF(D197="","",COUNTIF($D$2:D197,D197))</f>
        <v/>
      </c>
      <c r="AG197" s="15" t="str">
        <f aca="false" t="array" ref="AG197:AG197">IF(D197="","",IFERROR(MEDIAN(IF(($D$2:$D$401=D197)*($AF$2:$AF$401&gt;=AF197-5)*($AF$2:$AF$401&lt;=AF197-1)*($M$2:$M$401&lt;&gt;""),$M$2:$M$401)),""))</f>
        <v/>
      </c>
      <c r="AH197" s="16" t="str">
        <f aca="false">IF(AND(ISNUMBER(M197),ISNUMBER(AG197)),IF(AG197&gt;0,M197/AG197,""),"")</f>
        <v/>
      </c>
      <c r="AI197" s="15" t="str">
        <f aca="false" t="array" ref="AI197:AI197">IF(D197="","",IFERROR(MEDIAN(IF(($D$2:$D$401=D197)*($AF$2:$AF$401&gt;=AF197-5)*($AF$2:$AF$401&lt;=AF197-1)*($N$2:$N$401&lt;&gt;""),$N$2:$N$401)),""))</f>
        <v/>
      </c>
      <c r="AJ197" s="16" t="str">
        <f aca="false">IF(AND(ISNUMBER(N197),ISNUMBER(AI197)),IF(AI197&gt;0,N197/AI197,""),"")</f>
        <v/>
      </c>
      <c r="AK197" s="12" t="str">
        <f aca="false" t="array" ref="AK197:AK197">IF(D197="","",IFERROR(MEDIAN(IF(($D$2:$D$401=D197)*ISNUMBER($R$2:$R$401),$R$2:$R$401)),""))</f>
        <v/>
      </c>
      <c r="AL197" s="17" t="str">
        <f aca="false">IF(ISNUMBER(AJ197),IF(AND(AJ197&gt;=Resumen!$C$5,OR(NOT(ISNUMBER(R197)),NOT(ISNUMBER(AK197)),R197&gt;=AK197)),"Ganador",IF(AJ197&lt;=Resumen!$C$6,"Perdedor","Normal")),IF(ISNUMBER(AH197),IF(AH197&gt;=Resumen!$C$5,"Ganador (7 d, provisional)",IF(AH197&lt;=Resumen!$C$6,"Perdedor (7 d, provisional)","Normal (7 d, provisional)")),""))</f>
        <v/>
      </c>
      <c r="AM197" s="18" t="str">
        <f aca="false">IF(AND(ISNUMBER(Z197),ISNUMBER(N197)),IF(N197&gt;0,Z197/N197*1000,""),"")</f>
        <v/>
      </c>
      <c r="AN197" s="19" t="str">
        <f aca="false">IF(AND(ISNUMBER(U197),ISNUMBER(N197)),IF(N197&gt;0,U197/N197*1000,""),"")</f>
        <v/>
      </c>
    </row>
    <row r="198" customFormat="false" ht="15" hidden="false" customHeight="false" outlineLevel="0" collapsed="false">
      <c r="A198" s="7"/>
      <c r="B198" s="7"/>
      <c r="C198" s="8"/>
      <c r="D198" s="7"/>
      <c r="E198" s="7"/>
      <c r="F198" s="7"/>
      <c r="G198" s="7"/>
      <c r="H198" s="7"/>
      <c r="I198" s="7"/>
      <c r="J198" s="7"/>
      <c r="K198" s="9"/>
      <c r="L198" s="10"/>
      <c r="M198" s="10"/>
      <c r="N198" s="10"/>
      <c r="O198" s="10"/>
      <c r="P198" s="11"/>
      <c r="Q198" s="9"/>
      <c r="R198" s="12" t="str">
        <f aca="false">IF(AND(ISNUMBER(K198),ISNUMBER(Q198),K198&gt;0),Q198/K198,"")</f>
        <v/>
      </c>
      <c r="S198" s="11"/>
      <c r="T198" s="9"/>
      <c r="U198" s="10"/>
      <c r="V198" s="11"/>
      <c r="W198" s="11"/>
      <c r="X198" s="11"/>
      <c r="Y198" s="12" t="str">
        <f aca="false">IF(COUNT(V198:X198)=0,"",MAX(0,1-SUM(V198:X198)))</f>
        <v/>
      </c>
      <c r="Z198" s="13"/>
      <c r="AA198" s="9"/>
      <c r="AB198" s="7"/>
      <c r="AC198" s="7"/>
      <c r="AD198" s="7"/>
      <c r="AE198" s="7"/>
      <c r="AF198" s="14" t="str">
        <f aca="false">IF(D198="","",COUNTIF($D$2:D198,D198))</f>
        <v/>
      </c>
      <c r="AG198" s="15" t="str">
        <f aca="false" t="array" ref="AG198:AG198">IF(D198="","",IFERROR(MEDIAN(IF(($D$2:$D$401=D198)*($AF$2:$AF$401&gt;=AF198-5)*($AF$2:$AF$401&lt;=AF198-1)*($M$2:$M$401&lt;&gt;""),$M$2:$M$401)),""))</f>
        <v/>
      </c>
      <c r="AH198" s="16" t="str">
        <f aca="false">IF(AND(ISNUMBER(M198),ISNUMBER(AG198)),IF(AG198&gt;0,M198/AG198,""),"")</f>
        <v/>
      </c>
      <c r="AI198" s="15" t="str">
        <f aca="false" t="array" ref="AI198:AI198">IF(D198="","",IFERROR(MEDIAN(IF(($D$2:$D$401=D198)*($AF$2:$AF$401&gt;=AF198-5)*($AF$2:$AF$401&lt;=AF198-1)*($N$2:$N$401&lt;&gt;""),$N$2:$N$401)),""))</f>
        <v/>
      </c>
      <c r="AJ198" s="16" t="str">
        <f aca="false">IF(AND(ISNUMBER(N198),ISNUMBER(AI198)),IF(AI198&gt;0,N198/AI198,""),"")</f>
        <v/>
      </c>
      <c r="AK198" s="12" t="str">
        <f aca="false" t="array" ref="AK198:AK198">IF(D198="","",IFERROR(MEDIAN(IF(($D$2:$D$401=D198)*ISNUMBER($R$2:$R$401),$R$2:$R$401)),""))</f>
        <v/>
      </c>
      <c r="AL198" s="17" t="str">
        <f aca="false">IF(ISNUMBER(AJ198),IF(AND(AJ198&gt;=Resumen!$C$5,OR(NOT(ISNUMBER(R198)),NOT(ISNUMBER(AK198)),R198&gt;=AK198)),"Ganador",IF(AJ198&lt;=Resumen!$C$6,"Perdedor","Normal")),IF(ISNUMBER(AH198),IF(AH198&gt;=Resumen!$C$5,"Ganador (7 d, provisional)",IF(AH198&lt;=Resumen!$C$6,"Perdedor (7 d, provisional)","Normal (7 d, provisional)")),""))</f>
        <v/>
      </c>
      <c r="AM198" s="18" t="str">
        <f aca="false">IF(AND(ISNUMBER(Z198),ISNUMBER(N198)),IF(N198&gt;0,Z198/N198*1000,""),"")</f>
        <v/>
      </c>
      <c r="AN198" s="19" t="str">
        <f aca="false">IF(AND(ISNUMBER(U198),ISNUMBER(N198)),IF(N198&gt;0,U198/N198*1000,""),"")</f>
        <v/>
      </c>
    </row>
    <row r="199" customFormat="false" ht="15" hidden="false" customHeight="false" outlineLevel="0" collapsed="false">
      <c r="A199" s="7"/>
      <c r="B199" s="7"/>
      <c r="C199" s="8"/>
      <c r="D199" s="7"/>
      <c r="E199" s="7"/>
      <c r="F199" s="7"/>
      <c r="G199" s="7"/>
      <c r="H199" s="7"/>
      <c r="I199" s="7"/>
      <c r="J199" s="7"/>
      <c r="K199" s="9"/>
      <c r="L199" s="10"/>
      <c r="M199" s="10"/>
      <c r="N199" s="10"/>
      <c r="O199" s="10"/>
      <c r="P199" s="11"/>
      <c r="Q199" s="9"/>
      <c r="R199" s="12" t="str">
        <f aca="false">IF(AND(ISNUMBER(K199),ISNUMBER(Q199),K199&gt;0),Q199/K199,"")</f>
        <v/>
      </c>
      <c r="S199" s="11"/>
      <c r="T199" s="9"/>
      <c r="U199" s="10"/>
      <c r="V199" s="11"/>
      <c r="W199" s="11"/>
      <c r="X199" s="11"/>
      <c r="Y199" s="12" t="str">
        <f aca="false">IF(COUNT(V199:X199)=0,"",MAX(0,1-SUM(V199:X199)))</f>
        <v/>
      </c>
      <c r="Z199" s="13"/>
      <c r="AA199" s="9"/>
      <c r="AB199" s="7"/>
      <c r="AC199" s="7"/>
      <c r="AD199" s="7"/>
      <c r="AE199" s="7"/>
      <c r="AF199" s="14" t="str">
        <f aca="false">IF(D199="","",COUNTIF($D$2:D199,D199))</f>
        <v/>
      </c>
      <c r="AG199" s="15" t="str">
        <f aca="false" t="array" ref="AG199:AG199">IF(D199="","",IFERROR(MEDIAN(IF(($D$2:$D$401=D199)*($AF$2:$AF$401&gt;=AF199-5)*($AF$2:$AF$401&lt;=AF199-1)*($M$2:$M$401&lt;&gt;""),$M$2:$M$401)),""))</f>
        <v/>
      </c>
      <c r="AH199" s="16" t="str">
        <f aca="false">IF(AND(ISNUMBER(M199),ISNUMBER(AG199)),IF(AG199&gt;0,M199/AG199,""),"")</f>
        <v/>
      </c>
      <c r="AI199" s="15" t="str">
        <f aca="false" t="array" ref="AI199:AI199">IF(D199="","",IFERROR(MEDIAN(IF(($D$2:$D$401=D199)*($AF$2:$AF$401&gt;=AF199-5)*($AF$2:$AF$401&lt;=AF199-1)*($N$2:$N$401&lt;&gt;""),$N$2:$N$401)),""))</f>
        <v/>
      </c>
      <c r="AJ199" s="16" t="str">
        <f aca="false">IF(AND(ISNUMBER(N199),ISNUMBER(AI199)),IF(AI199&gt;0,N199/AI199,""),"")</f>
        <v/>
      </c>
      <c r="AK199" s="12" t="str">
        <f aca="false" t="array" ref="AK199:AK199">IF(D199="","",IFERROR(MEDIAN(IF(($D$2:$D$401=D199)*ISNUMBER($R$2:$R$401),$R$2:$R$401)),""))</f>
        <v/>
      </c>
      <c r="AL199" s="17" t="str">
        <f aca="false">IF(ISNUMBER(AJ199),IF(AND(AJ199&gt;=Resumen!$C$5,OR(NOT(ISNUMBER(R199)),NOT(ISNUMBER(AK199)),R199&gt;=AK199)),"Ganador",IF(AJ199&lt;=Resumen!$C$6,"Perdedor","Normal")),IF(ISNUMBER(AH199),IF(AH199&gt;=Resumen!$C$5,"Ganador (7 d, provisional)",IF(AH199&lt;=Resumen!$C$6,"Perdedor (7 d, provisional)","Normal (7 d, provisional)")),""))</f>
        <v/>
      </c>
      <c r="AM199" s="18" t="str">
        <f aca="false">IF(AND(ISNUMBER(Z199),ISNUMBER(N199)),IF(N199&gt;0,Z199/N199*1000,""),"")</f>
        <v/>
      </c>
      <c r="AN199" s="19" t="str">
        <f aca="false">IF(AND(ISNUMBER(U199),ISNUMBER(N199)),IF(N199&gt;0,U199/N199*1000,""),"")</f>
        <v/>
      </c>
    </row>
    <row r="200" customFormat="false" ht="15" hidden="false" customHeight="false" outlineLevel="0" collapsed="false">
      <c r="A200" s="7"/>
      <c r="B200" s="7"/>
      <c r="C200" s="8"/>
      <c r="D200" s="7"/>
      <c r="E200" s="7"/>
      <c r="F200" s="7"/>
      <c r="G200" s="7"/>
      <c r="H200" s="7"/>
      <c r="I200" s="7"/>
      <c r="J200" s="7"/>
      <c r="K200" s="9"/>
      <c r="L200" s="10"/>
      <c r="M200" s="10"/>
      <c r="N200" s="10"/>
      <c r="O200" s="10"/>
      <c r="P200" s="11"/>
      <c r="Q200" s="9"/>
      <c r="R200" s="12" t="str">
        <f aca="false">IF(AND(ISNUMBER(K200),ISNUMBER(Q200),K200&gt;0),Q200/K200,"")</f>
        <v/>
      </c>
      <c r="S200" s="11"/>
      <c r="T200" s="9"/>
      <c r="U200" s="10"/>
      <c r="V200" s="11"/>
      <c r="W200" s="11"/>
      <c r="X200" s="11"/>
      <c r="Y200" s="12" t="str">
        <f aca="false">IF(COUNT(V200:X200)=0,"",MAX(0,1-SUM(V200:X200)))</f>
        <v/>
      </c>
      <c r="Z200" s="13"/>
      <c r="AA200" s="9"/>
      <c r="AB200" s="7"/>
      <c r="AC200" s="7"/>
      <c r="AD200" s="7"/>
      <c r="AE200" s="7"/>
      <c r="AF200" s="14" t="str">
        <f aca="false">IF(D200="","",COUNTIF($D$2:D200,D200))</f>
        <v/>
      </c>
      <c r="AG200" s="15" t="str">
        <f aca="false" t="array" ref="AG200:AG200">IF(D200="","",IFERROR(MEDIAN(IF(($D$2:$D$401=D200)*($AF$2:$AF$401&gt;=AF200-5)*($AF$2:$AF$401&lt;=AF200-1)*($M$2:$M$401&lt;&gt;""),$M$2:$M$401)),""))</f>
        <v/>
      </c>
      <c r="AH200" s="16" t="str">
        <f aca="false">IF(AND(ISNUMBER(M200),ISNUMBER(AG200)),IF(AG200&gt;0,M200/AG200,""),"")</f>
        <v/>
      </c>
      <c r="AI200" s="15" t="str">
        <f aca="false" t="array" ref="AI200:AI200">IF(D200="","",IFERROR(MEDIAN(IF(($D$2:$D$401=D200)*($AF$2:$AF$401&gt;=AF200-5)*($AF$2:$AF$401&lt;=AF200-1)*($N$2:$N$401&lt;&gt;""),$N$2:$N$401)),""))</f>
        <v/>
      </c>
      <c r="AJ200" s="16" t="str">
        <f aca="false">IF(AND(ISNUMBER(N200),ISNUMBER(AI200)),IF(AI200&gt;0,N200/AI200,""),"")</f>
        <v/>
      </c>
      <c r="AK200" s="12" t="str">
        <f aca="false" t="array" ref="AK200:AK200">IF(D200="","",IFERROR(MEDIAN(IF(($D$2:$D$401=D200)*ISNUMBER($R$2:$R$401),$R$2:$R$401)),""))</f>
        <v/>
      </c>
      <c r="AL200" s="17" t="str">
        <f aca="false">IF(ISNUMBER(AJ200),IF(AND(AJ200&gt;=Resumen!$C$5,OR(NOT(ISNUMBER(R200)),NOT(ISNUMBER(AK200)),R200&gt;=AK200)),"Ganador",IF(AJ200&lt;=Resumen!$C$6,"Perdedor","Normal")),IF(ISNUMBER(AH200),IF(AH200&gt;=Resumen!$C$5,"Ganador (7 d, provisional)",IF(AH200&lt;=Resumen!$C$6,"Perdedor (7 d, provisional)","Normal (7 d, provisional)")),""))</f>
        <v/>
      </c>
      <c r="AM200" s="18" t="str">
        <f aca="false">IF(AND(ISNUMBER(Z200),ISNUMBER(N200)),IF(N200&gt;0,Z200/N200*1000,""),"")</f>
        <v/>
      </c>
      <c r="AN200" s="19" t="str">
        <f aca="false">IF(AND(ISNUMBER(U200),ISNUMBER(N200)),IF(N200&gt;0,U200/N200*1000,""),"")</f>
        <v/>
      </c>
    </row>
    <row r="201" customFormat="false" ht="15" hidden="false" customHeight="false" outlineLevel="0" collapsed="false">
      <c r="A201" s="7"/>
      <c r="B201" s="7"/>
      <c r="C201" s="8"/>
      <c r="D201" s="7"/>
      <c r="E201" s="7"/>
      <c r="F201" s="7"/>
      <c r="G201" s="7"/>
      <c r="H201" s="7"/>
      <c r="I201" s="7"/>
      <c r="J201" s="7"/>
      <c r="K201" s="9"/>
      <c r="L201" s="10"/>
      <c r="M201" s="10"/>
      <c r="N201" s="10"/>
      <c r="O201" s="10"/>
      <c r="P201" s="11"/>
      <c r="Q201" s="9"/>
      <c r="R201" s="12" t="str">
        <f aca="false">IF(AND(ISNUMBER(K201),ISNUMBER(Q201),K201&gt;0),Q201/K201,"")</f>
        <v/>
      </c>
      <c r="S201" s="11"/>
      <c r="T201" s="9"/>
      <c r="U201" s="10"/>
      <c r="V201" s="11"/>
      <c r="W201" s="11"/>
      <c r="X201" s="11"/>
      <c r="Y201" s="12" t="str">
        <f aca="false">IF(COUNT(V201:X201)=0,"",MAX(0,1-SUM(V201:X201)))</f>
        <v/>
      </c>
      <c r="Z201" s="13"/>
      <c r="AA201" s="9"/>
      <c r="AB201" s="7"/>
      <c r="AC201" s="7"/>
      <c r="AD201" s="7"/>
      <c r="AE201" s="7"/>
      <c r="AF201" s="14" t="str">
        <f aca="false">IF(D201="","",COUNTIF($D$2:D201,D201))</f>
        <v/>
      </c>
      <c r="AG201" s="15" t="str">
        <f aca="false" t="array" ref="AG201:AG201">IF(D201="","",IFERROR(MEDIAN(IF(($D$2:$D$401=D201)*($AF$2:$AF$401&gt;=AF201-5)*($AF$2:$AF$401&lt;=AF201-1)*($M$2:$M$401&lt;&gt;""),$M$2:$M$401)),""))</f>
        <v/>
      </c>
      <c r="AH201" s="16" t="str">
        <f aca="false">IF(AND(ISNUMBER(M201),ISNUMBER(AG201)),IF(AG201&gt;0,M201/AG201,""),"")</f>
        <v/>
      </c>
      <c r="AI201" s="15" t="str">
        <f aca="false" t="array" ref="AI201:AI201">IF(D201="","",IFERROR(MEDIAN(IF(($D$2:$D$401=D201)*($AF$2:$AF$401&gt;=AF201-5)*($AF$2:$AF$401&lt;=AF201-1)*($N$2:$N$401&lt;&gt;""),$N$2:$N$401)),""))</f>
        <v/>
      </c>
      <c r="AJ201" s="16" t="str">
        <f aca="false">IF(AND(ISNUMBER(N201),ISNUMBER(AI201)),IF(AI201&gt;0,N201/AI201,""),"")</f>
        <v/>
      </c>
      <c r="AK201" s="12" t="str">
        <f aca="false" t="array" ref="AK201:AK201">IF(D201="","",IFERROR(MEDIAN(IF(($D$2:$D$401=D201)*ISNUMBER($R$2:$R$401),$R$2:$R$401)),""))</f>
        <v/>
      </c>
      <c r="AL201" s="17" t="str">
        <f aca="false">IF(ISNUMBER(AJ201),IF(AND(AJ201&gt;=Resumen!$C$5,OR(NOT(ISNUMBER(R201)),NOT(ISNUMBER(AK201)),R201&gt;=AK201)),"Ganador",IF(AJ201&lt;=Resumen!$C$6,"Perdedor","Normal")),IF(ISNUMBER(AH201),IF(AH201&gt;=Resumen!$C$5,"Ganador (7 d, provisional)",IF(AH201&lt;=Resumen!$C$6,"Perdedor (7 d, provisional)","Normal (7 d, provisional)")),""))</f>
        <v/>
      </c>
      <c r="AM201" s="18" t="str">
        <f aca="false">IF(AND(ISNUMBER(Z201),ISNUMBER(N201)),IF(N201&gt;0,Z201/N201*1000,""),"")</f>
        <v/>
      </c>
      <c r="AN201" s="19" t="str">
        <f aca="false">IF(AND(ISNUMBER(U201),ISNUMBER(N201)),IF(N201&gt;0,U201/N201*1000,""),"")</f>
        <v/>
      </c>
    </row>
    <row r="202" customFormat="false" ht="15" hidden="false" customHeight="false" outlineLevel="0" collapsed="false">
      <c r="A202" s="7"/>
      <c r="B202" s="7"/>
      <c r="C202" s="8"/>
      <c r="D202" s="7"/>
      <c r="E202" s="7"/>
      <c r="F202" s="7"/>
      <c r="G202" s="7"/>
      <c r="H202" s="7"/>
      <c r="I202" s="7"/>
      <c r="J202" s="7"/>
      <c r="K202" s="9"/>
      <c r="L202" s="10"/>
      <c r="M202" s="10"/>
      <c r="N202" s="10"/>
      <c r="O202" s="10"/>
      <c r="P202" s="11"/>
      <c r="Q202" s="9"/>
      <c r="R202" s="12" t="str">
        <f aca="false">IF(AND(ISNUMBER(K202),ISNUMBER(Q202),K202&gt;0),Q202/K202,"")</f>
        <v/>
      </c>
      <c r="S202" s="11"/>
      <c r="T202" s="9"/>
      <c r="U202" s="10"/>
      <c r="V202" s="11"/>
      <c r="W202" s="11"/>
      <c r="X202" s="11"/>
      <c r="Y202" s="12" t="str">
        <f aca="false">IF(COUNT(V202:X202)=0,"",MAX(0,1-SUM(V202:X202)))</f>
        <v/>
      </c>
      <c r="Z202" s="13"/>
      <c r="AA202" s="9"/>
      <c r="AB202" s="7"/>
      <c r="AC202" s="7"/>
      <c r="AD202" s="7"/>
      <c r="AE202" s="7"/>
      <c r="AF202" s="14" t="str">
        <f aca="false">IF(D202="","",COUNTIF($D$2:D202,D202))</f>
        <v/>
      </c>
      <c r="AG202" s="15" t="str">
        <f aca="false" t="array" ref="AG202:AG202">IF(D202="","",IFERROR(MEDIAN(IF(($D$2:$D$401=D202)*($AF$2:$AF$401&gt;=AF202-5)*($AF$2:$AF$401&lt;=AF202-1)*($M$2:$M$401&lt;&gt;""),$M$2:$M$401)),""))</f>
        <v/>
      </c>
      <c r="AH202" s="16" t="str">
        <f aca="false">IF(AND(ISNUMBER(M202),ISNUMBER(AG202)),IF(AG202&gt;0,M202/AG202,""),"")</f>
        <v/>
      </c>
      <c r="AI202" s="15" t="str">
        <f aca="false" t="array" ref="AI202:AI202">IF(D202="","",IFERROR(MEDIAN(IF(($D$2:$D$401=D202)*($AF$2:$AF$401&gt;=AF202-5)*($AF$2:$AF$401&lt;=AF202-1)*($N$2:$N$401&lt;&gt;""),$N$2:$N$401)),""))</f>
        <v/>
      </c>
      <c r="AJ202" s="16" t="str">
        <f aca="false">IF(AND(ISNUMBER(N202),ISNUMBER(AI202)),IF(AI202&gt;0,N202/AI202,""),"")</f>
        <v/>
      </c>
      <c r="AK202" s="12" t="str">
        <f aca="false" t="array" ref="AK202:AK202">IF(D202="","",IFERROR(MEDIAN(IF(($D$2:$D$401=D202)*ISNUMBER($R$2:$R$401),$R$2:$R$401)),""))</f>
        <v/>
      </c>
      <c r="AL202" s="17" t="str">
        <f aca="false">IF(ISNUMBER(AJ202),IF(AND(AJ202&gt;=Resumen!$C$5,OR(NOT(ISNUMBER(R202)),NOT(ISNUMBER(AK202)),R202&gt;=AK202)),"Ganador",IF(AJ202&lt;=Resumen!$C$6,"Perdedor","Normal")),IF(ISNUMBER(AH202),IF(AH202&gt;=Resumen!$C$5,"Ganador (7 d, provisional)",IF(AH202&lt;=Resumen!$C$6,"Perdedor (7 d, provisional)","Normal (7 d, provisional)")),""))</f>
        <v/>
      </c>
      <c r="AM202" s="18" t="str">
        <f aca="false">IF(AND(ISNUMBER(Z202),ISNUMBER(N202)),IF(N202&gt;0,Z202/N202*1000,""),"")</f>
        <v/>
      </c>
      <c r="AN202" s="19" t="str">
        <f aca="false">IF(AND(ISNUMBER(U202),ISNUMBER(N202)),IF(N202&gt;0,U202/N202*1000,""),"")</f>
        <v/>
      </c>
    </row>
    <row r="203" customFormat="false" ht="15" hidden="false" customHeight="false" outlineLevel="0" collapsed="false">
      <c r="A203" s="7"/>
      <c r="B203" s="7"/>
      <c r="C203" s="8"/>
      <c r="D203" s="7"/>
      <c r="E203" s="7"/>
      <c r="F203" s="7"/>
      <c r="G203" s="7"/>
      <c r="H203" s="7"/>
      <c r="I203" s="7"/>
      <c r="J203" s="7"/>
      <c r="K203" s="9"/>
      <c r="L203" s="10"/>
      <c r="M203" s="10"/>
      <c r="N203" s="10"/>
      <c r="O203" s="10"/>
      <c r="P203" s="11"/>
      <c r="Q203" s="9"/>
      <c r="R203" s="12" t="str">
        <f aca="false">IF(AND(ISNUMBER(K203),ISNUMBER(Q203),K203&gt;0),Q203/K203,"")</f>
        <v/>
      </c>
      <c r="S203" s="11"/>
      <c r="T203" s="9"/>
      <c r="U203" s="10"/>
      <c r="V203" s="11"/>
      <c r="W203" s="11"/>
      <c r="X203" s="11"/>
      <c r="Y203" s="12" t="str">
        <f aca="false">IF(COUNT(V203:X203)=0,"",MAX(0,1-SUM(V203:X203)))</f>
        <v/>
      </c>
      <c r="Z203" s="13"/>
      <c r="AA203" s="9"/>
      <c r="AB203" s="7"/>
      <c r="AC203" s="7"/>
      <c r="AD203" s="7"/>
      <c r="AE203" s="7"/>
      <c r="AF203" s="14" t="str">
        <f aca="false">IF(D203="","",COUNTIF($D$2:D203,D203))</f>
        <v/>
      </c>
      <c r="AG203" s="15" t="str">
        <f aca="false" t="array" ref="AG203:AG203">IF(D203="","",IFERROR(MEDIAN(IF(($D$2:$D$401=D203)*($AF$2:$AF$401&gt;=AF203-5)*($AF$2:$AF$401&lt;=AF203-1)*($M$2:$M$401&lt;&gt;""),$M$2:$M$401)),""))</f>
        <v/>
      </c>
      <c r="AH203" s="16" t="str">
        <f aca="false">IF(AND(ISNUMBER(M203),ISNUMBER(AG203)),IF(AG203&gt;0,M203/AG203,""),"")</f>
        <v/>
      </c>
      <c r="AI203" s="15" t="str">
        <f aca="false" t="array" ref="AI203:AI203">IF(D203="","",IFERROR(MEDIAN(IF(($D$2:$D$401=D203)*($AF$2:$AF$401&gt;=AF203-5)*($AF$2:$AF$401&lt;=AF203-1)*($N$2:$N$401&lt;&gt;""),$N$2:$N$401)),""))</f>
        <v/>
      </c>
      <c r="AJ203" s="16" t="str">
        <f aca="false">IF(AND(ISNUMBER(N203),ISNUMBER(AI203)),IF(AI203&gt;0,N203/AI203,""),"")</f>
        <v/>
      </c>
      <c r="AK203" s="12" t="str">
        <f aca="false" t="array" ref="AK203:AK203">IF(D203="","",IFERROR(MEDIAN(IF(($D$2:$D$401=D203)*ISNUMBER($R$2:$R$401),$R$2:$R$401)),""))</f>
        <v/>
      </c>
      <c r="AL203" s="17" t="str">
        <f aca="false">IF(ISNUMBER(AJ203),IF(AND(AJ203&gt;=Resumen!$C$5,OR(NOT(ISNUMBER(R203)),NOT(ISNUMBER(AK203)),R203&gt;=AK203)),"Ganador",IF(AJ203&lt;=Resumen!$C$6,"Perdedor","Normal")),IF(ISNUMBER(AH203),IF(AH203&gt;=Resumen!$C$5,"Ganador (7 d, provisional)",IF(AH203&lt;=Resumen!$C$6,"Perdedor (7 d, provisional)","Normal (7 d, provisional)")),""))</f>
        <v/>
      </c>
      <c r="AM203" s="18" t="str">
        <f aca="false">IF(AND(ISNUMBER(Z203),ISNUMBER(N203)),IF(N203&gt;0,Z203/N203*1000,""),"")</f>
        <v/>
      </c>
      <c r="AN203" s="19" t="str">
        <f aca="false">IF(AND(ISNUMBER(U203),ISNUMBER(N203)),IF(N203&gt;0,U203/N203*1000,""),"")</f>
        <v/>
      </c>
    </row>
    <row r="204" customFormat="false" ht="15" hidden="false" customHeight="false" outlineLevel="0" collapsed="false">
      <c r="A204" s="7"/>
      <c r="B204" s="7"/>
      <c r="C204" s="8"/>
      <c r="D204" s="7"/>
      <c r="E204" s="7"/>
      <c r="F204" s="7"/>
      <c r="G204" s="7"/>
      <c r="H204" s="7"/>
      <c r="I204" s="7"/>
      <c r="J204" s="7"/>
      <c r="K204" s="9"/>
      <c r="L204" s="10"/>
      <c r="M204" s="10"/>
      <c r="N204" s="10"/>
      <c r="O204" s="10"/>
      <c r="P204" s="11"/>
      <c r="Q204" s="9"/>
      <c r="R204" s="12" t="str">
        <f aca="false">IF(AND(ISNUMBER(K204),ISNUMBER(Q204),K204&gt;0),Q204/K204,"")</f>
        <v/>
      </c>
      <c r="S204" s="11"/>
      <c r="T204" s="9"/>
      <c r="U204" s="10"/>
      <c r="V204" s="11"/>
      <c r="W204" s="11"/>
      <c r="X204" s="11"/>
      <c r="Y204" s="12" t="str">
        <f aca="false">IF(COUNT(V204:X204)=0,"",MAX(0,1-SUM(V204:X204)))</f>
        <v/>
      </c>
      <c r="Z204" s="13"/>
      <c r="AA204" s="9"/>
      <c r="AB204" s="7"/>
      <c r="AC204" s="7"/>
      <c r="AD204" s="7"/>
      <c r="AE204" s="7"/>
      <c r="AF204" s="14" t="str">
        <f aca="false">IF(D204="","",COUNTIF($D$2:D204,D204))</f>
        <v/>
      </c>
      <c r="AG204" s="15" t="str">
        <f aca="false" t="array" ref="AG204:AG204">IF(D204="","",IFERROR(MEDIAN(IF(($D$2:$D$401=D204)*($AF$2:$AF$401&gt;=AF204-5)*($AF$2:$AF$401&lt;=AF204-1)*($M$2:$M$401&lt;&gt;""),$M$2:$M$401)),""))</f>
        <v/>
      </c>
      <c r="AH204" s="16" t="str">
        <f aca="false">IF(AND(ISNUMBER(M204),ISNUMBER(AG204)),IF(AG204&gt;0,M204/AG204,""),"")</f>
        <v/>
      </c>
      <c r="AI204" s="15" t="str">
        <f aca="false" t="array" ref="AI204:AI204">IF(D204="","",IFERROR(MEDIAN(IF(($D$2:$D$401=D204)*($AF$2:$AF$401&gt;=AF204-5)*($AF$2:$AF$401&lt;=AF204-1)*($N$2:$N$401&lt;&gt;""),$N$2:$N$401)),""))</f>
        <v/>
      </c>
      <c r="AJ204" s="16" t="str">
        <f aca="false">IF(AND(ISNUMBER(N204),ISNUMBER(AI204)),IF(AI204&gt;0,N204/AI204,""),"")</f>
        <v/>
      </c>
      <c r="AK204" s="12" t="str">
        <f aca="false" t="array" ref="AK204:AK204">IF(D204="","",IFERROR(MEDIAN(IF(($D$2:$D$401=D204)*ISNUMBER($R$2:$R$401),$R$2:$R$401)),""))</f>
        <v/>
      </c>
      <c r="AL204" s="17" t="str">
        <f aca="false">IF(ISNUMBER(AJ204),IF(AND(AJ204&gt;=Resumen!$C$5,OR(NOT(ISNUMBER(R204)),NOT(ISNUMBER(AK204)),R204&gt;=AK204)),"Ganador",IF(AJ204&lt;=Resumen!$C$6,"Perdedor","Normal")),IF(ISNUMBER(AH204),IF(AH204&gt;=Resumen!$C$5,"Ganador (7 d, provisional)",IF(AH204&lt;=Resumen!$C$6,"Perdedor (7 d, provisional)","Normal (7 d, provisional)")),""))</f>
        <v/>
      </c>
      <c r="AM204" s="18" t="str">
        <f aca="false">IF(AND(ISNUMBER(Z204),ISNUMBER(N204)),IF(N204&gt;0,Z204/N204*1000,""),"")</f>
        <v/>
      </c>
      <c r="AN204" s="19" t="str">
        <f aca="false">IF(AND(ISNUMBER(U204),ISNUMBER(N204)),IF(N204&gt;0,U204/N204*1000,""),"")</f>
        <v/>
      </c>
    </row>
    <row r="205" customFormat="false" ht="15" hidden="false" customHeight="false" outlineLevel="0" collapsed="false">
      <c r="A205" s="7"/>
      <c r="B205" s="7"/>
      <c r="C205" s="8"/>
      <c r="D205" s="7"/>
      <c r="E205" s="7"/>
      <c r="F205" s="7"/>
      <c r="G205" s="7"/>
      <c r="H205" s="7"/>
      <c r="I205" s="7"/>
      <c r="J205" s="7"/>
      <c r="K205" s="9"/>
      <c r="L205" s="10"/>
      <c r="M205" s="10"/>
      <c r="N205" s="10"/>
      <c r="O205" s="10"/>
      <c r="P205" s="11"/>
      <c r="Q205" s="9"/>
      <c r="R205" s="12" t="str">
        <f aca="false">IF(AND(ISNUMBER(K205),ISNUMBER(Q205),K205&gt;0),Q205/K205,"")</f>
        <v/>
      </c>
      <c r="S205" s="11"/>
      <c r="T205" s="9"/>
      <c r="U205" s="10"/>
      <c r="V205" s="11"/>
      <c r="W205" s="11"/>
      <c r="X205" s="11"/>
      <c r="Y205" s="12" t="str">
        <f aca="false">IF(COUNT(V205:X205)=0,"",MAX(0,1-SUM(V205:X205)))</f>
        <v/>
      </c>
      <c r="Z205" s="13"/>
      <c r="AA205" s="9"/>
      <c r="AB205" s="7"/>
      <c r="AC205" s="7"/>
      <c r="AD205" s="7"/>
      <c r="AE205" s="7"/>
      <c r="AF205" s="14" t="str">
        <f aca="false">IF(D205="","",COUNTIF($D$2:D205,D205))</f>
        <v/>
      </c>
      <c r="AG205" s="15" t="str">
        <f aca="false" t="array" ref="AG205:AG205">IF(D205="","",IFERROR(MEDIAN(IF(($D$2:$D$401=D205)*($AF$2:$AF$401&gt;=AF205-5)*($AF$2:$AF$401&lt;=AF205-1)*($M$2:$M$401&lt;&gt;""),$M$2:$M$401)),""))</f>
        <v/>
      </c>
      <c r="AH205" s="16" t="str">
        <f aca="false">IF(AND(ISNUMBER(M205),ISNUMBER(AG205)),IF(AG205&gt;0,M205/AG205,""),"")</f>
        <v/>
      </c>
      <c r="AI205" s="15" t="str">
        <f aca="false" t="array" ref="AI205:AI205">IF(D205="","",IFERROR(MEDIAN(IF(($D$2:$D$401=D205)*($AF$2:$AF$401&gt;=AF205-5)*($AF$2:$AF$401&lt;=AF205-1)*($N$2:$N$401&lt;&gt;""),$N$2:$N$401)),""))</f>
        <v/>
      </c>
      <c r="AJ205" s="16" t="str">
        <f aca="false">IF(AND(ISNUMBER(N205),ISNUMBER(AI205)),IF(AI205&gt;0,N205/AI205,""),"")</f>
        <v/>
      </c>
      <c r="AK205" s="12" t="str">
        <f aca="false" t="array" ref="AK205:AK205">IF(D205="","",IFERROR(MEDIAN(IF(($D$2:$D$401=D205)*ISNUMBER($R$2:$R$401),$R$2:$R$401)),""))</f>
        <v/>
      </c>
      <c r="AL205" s="17" t="str">
        <f aca="false">IF(ISNUMBER(AJ205),IF(AND(AJ205&gt;=Resumen!$C$5,OR(NOT(ISNUMBER(R205)),NOT(ISNUMBER(AK205)),R205&gt;=AK205)),"Ganador",IF(AJ205&lt;=Resumen!$C$6,"Perdedor","Normal")),IF(ISNUMBER(AH205),IF(AH205&gt;=Resumen!$C$5,"Ganador (7 d, provisional)",IF(AH205&lt;=Resumen!$C$6,"Perdedor (7 d, provisional)","Normal (7 d, provisional)")),""))</f>
        <v/>
      </c>
      <c r="AM205" s="18" t="str">
        <f aca="false">IF(AND(ISNUMBER(Z205),ISNUMBER(N205)),IF(N205&gt;0,Z205/N205*1000,""),"")</f>
        <v/>
      </c>
      <c r="AN205" s="19" t="str">
        <f aca="false">IF(AND(ISNUMBER(U205),ISNUMBER(N205)),IF(N205&gt;0,U205/N205*1000,""),"")</f>
        <v/>
      </c>
    </row>
    <row r="206" customFormat="false" ht="15" hidden="false" customHeight="false" outlineLevel="0" collapsed="false">
      <c r="A206" s="7"/>
      <c r="B206" s="7"/>
      <c r="C206" s="8"/>
      <c r="D206" s="7"/>
      <c r="E206" s="7"/>
      <c r="F206" s="7"/>
      <c r="G206" s="7"/>
      <c r="H206" s="7"/>
      <c r="I206" s="7"/>
      <c r="J206" s="7"/>
      <c r="K206" s="9"/>
      <c r="L206" s="10"/>
      <c r="M206" s="10"/>
      <c r="N206" s="10"/>
      <c r="O206" s="10"/>
      <c r="P206" s="11"/>
      <c r="Q206" s="9"/>
      <c r="R206" s="12" t="str">
        <f aca="false">IF(AND(ISNUMBER(K206),ISNUMBER(Q206),K206&gt;0),Q206/K206,"")</f>
        <v/>
      </c>
      <c r="S206" s="11"/>
      <c r="T206" s="9"/>
      <c r="U206" s="10"/>
      <c r="V206" s="11"/>
      <c r="W206" s="11"/>
      <c r="X206" s="11"/>
      <c r="Y206" s="12" t="str">
        <f aca="false">IF(COUNT(V206:X206)=0,"",MAX(0,1-SUM(V206:X206)))</f>
        <v/>
      </c>
      <c r="Z206" s="13"/>
      <c r="AA206" s="9"/>
      <c r="AB206" s="7"/>
      <c r="AC206" s="7"/>
      <c r="AD206" s="7"/>
      <c r="AE206" s="7"/>
      <c r="AF206" s="14" t="str">
        <f aca="false">IF(D206="","",COUNTIF($D$2:D206,D206))</f>
        <v/>
      </c>
      <c r="AG206" s="15" t="str">
        <f aca="false" t="array" ref="AG206:AG206">IF(D206="","",IFERROR(MEDIAN(IF(($D$2:$D$401=D206)*($AF$2:$AF$401&gt;=AF206-5)*($AF$2:$AF$401&lt;=AF206-1)*($M$2:$M$401&lt;&gt;""),$M$2:$M$401)),""))</f>
        <v/>
      </c>
      <c r="AH206" s="16" t="str">
        <f aca="false">IF(AND(ISNUMBER(M206),ISNUMBER(AG206)),IF(AG206&gt;0,M206/AG206,""),"")</f>
        <v/>
      </c>
      <c r="AI206" s="15" t="str">
        <f aca="false" t="array" ref="AI206:AI206">IF(D206="","",IFERROR(MEDIAN(IF(($D$2:$D$401=D206)*($AF$2:$AF$401&gt;=AF206-5)*($AF$2:$AF$401&lt;=AF206-1)*($N$2:$N$401&lt;&gt;""),$N$2:$N$401)),""))</f>
        <v/>
      </c>
      <c r="AJ206" s="16" t="str">
        <f aca="false">IF(AND(ISNUMBER(N206),ISNUMBER(AI206)),IF(AI206&gt;0,N206/AI206,""),"")</f>
        <v/>
      </c>
      <c r="AK206" s="12" t="str">
        <f aca="false" t="array" ref="AK206:AK206">IF(D206="","",IFERROR(MEDIAN(IF(($D$2:$D$401=D206)*ISNUMBER($R$2:$R$401),$R$2:$R$401)),""))</f>
        <v/>
      </c>
      <c r="AL206" s="17" t="str">
        <f aca="false">IF(ISNUMBER(AJ206),IF(AND(AJ206&gt;=Resumen!$C$5,OR(NOT(ISNUMBER(R206)),NOT(ISNUMBER(AK206)),R206&gt;=AK206)),"Ganador",IF(AJ206&lt;=Resumen!$C$6,"Perdedor","Normal")),IF(ISNUMBER(AH206),IF(AH206&gt;=Resumen!$C$5,"Ganador (7 d, provisional)",IF(AH206&lt;=Resumen!$C$6,"Perdedor (7 d, provisional)","Normal (7 d, provisional)")),""))</f>
        <v/>
      </c>
      <c r="AM206" s="18" t="str">
        <f aca="false">IF(AND(ISNUMBER(Z206),ISNUMBER(N206)),IF(N206&gt;0,Z206/N206*1000,""),"")</f>
        <v/>
      </c>
      <c r="AN206" s="19" t="str">
        <f aca="false">IF(AND(ISNUMBER(U206),ISNUMBER(N206)),IF(N206&gt;0,U206/N206*1000,""),"")</f>
        <v/>
      </c>
    </row>
    <row r="207" customFormat="false" ht="15" hidden="false" customHeight="false" outlineLevel="0" collapsed="false">
      <c r="A207" s="7"/>
      <c r="B207" s="7"/>
      <c r="C207" s="8"/>
      <c r="D207" s="7"/>
      <c r="E207" s="7"/>
      <c r="F207" s="7"/>
      <c r="G207" s="7"/>
      <c r="H207" s="7"/>
      <c r="I207" s="7"/>
      <c r="J207" s="7"/>
      <c r="K207" s="9"/>
      <c r="L207" s="10"/>
      <c r="M207" s="10"/>
      <c r="N207" s="10"/>
      <c r="O207" s="10"/>
      <c r="P207" s="11"/>
      <c r="Q207" s="9"/>
      <c r="R207" s="12" t="str">
        <f aca="false">IF(AND(ISNUMBER(K207),ISNUMBER(Q207),K207&gt;0),Q207/K207,"")</f>
        <v/>
      </c>
      <c r="S207" s="11"/>
      <c r="T207" s="9"/>
      <c r="U207" s="10"/>
      <c r="V207" s="11"/>
      <c r="W207" s="11"/>
      <c r="X207" s="11"/>
      <c r="Y207" s="12" t="str">
        <f aca="false">IF(COUNT(V207:X207)=0,"",MAX(0,1-SUM(V207:X207)))</f>
        <v/>
      </c>
      <c r="Z207" s="13"/>
      <c r="AA207" s="9"/>
      <c r="AB207" s="7"/>
      <c r="AC207" s="7"/>
      <c r="AD207" s="7"/>
      <c r="AE207" s="7"/>
      <c r="AF207" s="14" t="str">
        <f aca="false">IF(D207="","",COUNTIF($D$2:D207,D207))</f>
        <v/>
      </c>
      <c r="AG207" s="15" t="str">
        <f aca="false" t="array" ref="AG207:AG207">IF(D207="","",IFERROR(MEDIAN(IF(($D$2:$D$401=D207)*($AF$2:$AF$401&gt;=AF207-5)*($AF$2:$AF$401&lt;=AF207-1)*($M$2:$M$401&lt;&gt;""),$M$2:$M$401)),""))</f>
        <v/>
      </c>
      <c r="AH207" s="16" t="str">
        <f aca="false">IF(AND(ISNUMBER(M207),ISNUMBER(AG207)),IF(AG207&gt;0,M207/AG207,""),"")</f>
        <v/>
      </c>
      <c r="AI207" s="15" t="str">
        <f aca="false" t="array" ref="AI207:AI207">IF(D207="","",IFERROR(MEDIAN(IF(($D$2:$D$401=D207)*($AF$2:$AF$401&gt;=AF207-5)*($AF$2:$AF$401&lt;=AF207-1)*($N$2:$N$401&lt;&gt;""),$N$2:$N$401)),""))</f>
        <v/>
      </c>
      <c r="AJ207" s="16" t="str">
        <f aca="false">IF(AND(ISNUMBER(N207),ISNUMBER(AI207)),IF(AI207&gt;0,N207/AI207,""),"")</f>
        <v/>
      </c>
      <c r="AK207" s="12" t="str">
        <f aca="false" t="array" ref="AK207:AK207">IF(D207="","",IFERROR(MEDIAN(IF(($D$2:$D$401=D207)*ISNUMBER($R$2:$R$401),$R$2:$R$401)),""))</f>
        <v/>
      </c>
      <c r="AL207" s="17" t="str">
        <f aca="false">IF(ISNUMBER(AJ207),IF(AND(AJ207&gt;=Resumen!$C$5,OR(NOT(ISNUMBER(R207)),NOT(ISNUMBER(AK207)),R207&gt;=AK207)),"Ganador",IF(AJ207&lt;=Resumen!$C$6,"Perdedor","Normal")),IF(ISNUMBER(AH207),IF(AH207&gt;=Resumen!$C$5,"Ganador (7 d, provisional)",IF(AH207&lt;=Resumen!$C$6,"Perdedor (7 d, provisional)","Normal (7 d, provisional)")),""))</f>
        <v/>
      </c>
      <c r="AM207" s="18" t="str">
        <f aca="false">IF(AND(ISNUMBER(Z207),ISNUMBER(N207)),IF(N207&gt;0,Z207/N207*1000,""),"")</f>
        <v/>
      </c>
      <c r="AN207" s="19" t="str">
        <f aca="false">IF(AND(ISNUMBER(U207),ISNUMBER(N207)),IF(N207&gt;0,U207/N207*1000,""),"")</f>
        <v/>
      </c>
    </row>
    <row r="208" customFormat="false" ht="15" hidden="false" customHeight="false" outlineLevel="0" collapsed="false">
      <c r="A208" s="7"/>
      <c r="B208" s="7"/>
      <c r="C208" s="8"/>
      <c r="D208" s="7"/>
      <c r="E208" s="7"/>
      <c r="F208" s="7"/>
      <c r="G208" s="7"/>
      <c r="H208" s="7"/>
      <c r="I208" s="7"/>
      <c r="J208" s="7"/>
      <c r="K208" s="9"/>
      <c r="L208" s="10"/>
      <c r="M208" s="10"/>
      <c r="N208" s="10"/>
      <c r="O208" s="10"/>
      <c r="P208" s="11"/>
      <c r="Q208" s="9"/>
      <c r="R208" s="12" t="str">
        <f aca="false">IF(AND(ISNUMBER(K208),ISNUMBER(Q208),K208&gt;0),Q208/K208,"")</f>
        <v/>
      </c>
      <c r="S208" s="11"/>
      <c r="T208" s="9"/>
      <c r="U208" s="10"/>
      <c r="V208" s="11"/>
      <c r="W208" s="11"/>
      <c r="X208" s="11"/>
      <c r="Y208" s="12" t="str">
        <f aca="false">IF(COUNT(V208:X208)=0,"",MAX(0,1-SUM(V208:X208)))</f>
        <v/>
      </c>
      <c r="Z208" s="13"/>
      <c r="AA208" s="9"/>
      <c r="AB208" s="7"/>
      <c r="AC208" s="7"/>
      <c r="AD208" s="7"/>
      <c r="AE208" s="7"/>
      <c r="AF208" s="14" t="str">
        <f aca="false">IF(D208="","",COUNTIF($D$2:D208,D208))</f>
        <v/>
      </c>
      <c r="AG208" s="15" t="str">
        <f aca="false" t="array" ref="AG208:AG208">IF(D208="","",IFERROR(MEDIAN(IF(($D$2:$D$401=D208)*($AF$2:$AF$401&gt;=AF208-5)*($AF$2:$AF$401&lt;=AF208-1)*($M$2:$M$401&lt;&gt;""),$M$2:$M$401)),""))</f>
        <v/>
      </c>
      <c r="AH208" s="16" t="str">
        <f aca="false">IF(AND(ISNUMBER(M208),ISNUMBER(AG208)),IF(AG208&gt;0,M208/AG208,""),"")</f>
        <v/>
      </c>
      <c r="AI208" s="15" t="str">
        <f aca="false" t="array" ref="AI208:AI208">IF(D208="","",IFERROR(MEDIAN(IF(($D$2:$D$401=D208)*($AF$2:$AF$401&gt;=AF208-5)*($AF$2:$AF$401&lt;=AF208-1)*($N$2:$N$401&lt;&gt;""),$N$2:$N$401)),""))</f>
        <v/>
      </c>
      <c r="AJ208" s="16" t="str">
        <f aca="false">IF(AND(ISNUMBER(N208),ISNUMBER(AI208)),IF(AI208&gt;0,N208/AI208,""),"")</f>
        <v/>
      </c>
      <c r="AK208" s="12" t="str">
        <f aca="false" t="array" ref="AK208:AK208">IF(D208="","",IFERROR(MEDIAN(IF(($D$2:$D$401=D208)*ISNUMBER($R$2:$R$401),$R$2:$R$401)),""))</f>
        <v/>
      </c>
      <c r="AL208" s="17" t="str">
        <f aca="false">IF(ISNUMBER(AJ208),IF(AND(AJ208&gt;=Resumen!$C$5,OR(NOT(ISNUMBER(R208)),NOT(ISNUMBER(AK208)),R208&gt;=AK208)),"Ganador",IF(AJ208&lt;=Resumen!$C$6,"Perdedor","Normal")),IF(ISNUMBER(AH208),IF(AH208&gt;=Resumen!$C$5,"Ganador (7 d, provisional)",IF(AH208&lt;=Resumen!$C$6,"Perdedor (7 d, provisional)","Normal (7 d, provisional)")),""))</f>
        <v/>
      </c>
      <c r="AM208" s="18" t="str">
        <f aca="false">IF(AND(ISNUMBER(Z208),ISNUMBER(N208)),IF(N208&gt;0,Z208/N208*1000,""),"")</f>
        <v/>
      </c>
      <c r="AN208" s="19" t="str">
        <f aca="false">IF(AND(ISNUMBER(U208),ISNUMBER(N208)),IF(N208&gt;0,U208/N208*1000,""),"")</f>
        <v/>
      </c>
    </row>
    <row r="209" customFormat="false" ht="15" hidden="false" customHeight="false" outlineLevel="0" collapsed="false">
      <c r="A209" s="7"/>
      <c r="B209" s="7"/>
      <c r="C209" s="8"/>
      <c r="D209" s="7"/>
      <c r="E209" s="7"/>
      <c r="F209" s="7"/>
      <c r="G209" s="7"/>
      <c r="H209" s="7"/>
      <c r="I209" s="7"/>
      <c r="J209" s="7"/>
      <c r="K209" s="9"/>
      <c r="L209" s="10"/>
      <c r="M209" s="10"/>
      <c r="N209" s="10"/>
      <c r="O209" s="10"/>
      <c r="P209" s="11"/>
      <c r="Q209" s="9"/>
      <c r="R209" s="12" t="str">
        <f aca="false">IF(AND(ISNUMBER(K209),ISNUMBER(Q209),K209&gt;0),Q209/K209,"")</f>
        <v/>
      </c>
      <c r="S209" s="11"/>
      <c r="T209" s="9"/>
      <c r="U209" s="10"/>
      <c r="V209" s="11"/>
      <c r="W209" s="11"/>
      <c r="X209" s="11"/>
      <c r="Y209" s="12" t="str">
        <f aca="false">IF(COUNT(V209:X209)=0,"",MAX(0,1-SUM(V209:X209)))</f>
        <v/>
      </c>
      <c r="Z209" s="13"/>
      <c r="AA209" s="9"/>
      <c r="AB209" s="7"/>
      <c r="AC209" s="7"/>
      <c r="AD209" s="7"/>
      <c r="AE209" s="7"/>
      <c r="AF209" s="14" t="str">
        <f aca="false">IF(D209="","",COUNTIF($D$2:D209,D209))</f>
        <v/>
      </c>
      <c r="AG209" s="15" t="str">
        <f aca="false" t="array" ref="AG209:AG209">IF(D209="","",IFERROR(MEDIAN(IF(($D$2:$D$401=D209)*($AF$2:$AF$401&gt;=AF209-5)*($AF$2:$AF$401&lt;=AF209-1)*($M$2:$M$401&lt;&gt;""),$M$2:$M$401)),""))</f>
        <v/>
      </c>
      <c r="AH209" s="16" t="str">
        <f aca="false">IF(AND(ISNUMBER(M209),ISNUMBER(AG209)),IF(AG209&gt;0,M209/AG209,""),"")</f>
        <v/>
      </c>
      <c r="AI209" s="15" t="str">
        <f aca="false" t="array" ref="AI209:AI209">IF(D209="","",IFERROR(MEDIAN(IF(($D$2:$D$401=D209)*($AF$2:$AF$401&gt;=AF209-5)*($AF$2:$AF$401&lt;=AF209-1)*($N$2:$N$401&lt;&gt;""),$N$2:$N$401)),""))</f>
        <v/>
      </c>
      <c r="AJ209" s="16" t="str">
        <f aca="false">IF(AND(ISNUMBER(N209),ISNUMBER(AI209)),IF(AI209&gt;0,N209/AI209,""),"")</f>
        <v/>
      </c>
      <c r="AK209" s="12" t="str">
        <f aca="false" t="array" ref="AK209:AK209">IF(D209="","",IFERROR(MEDIAN(IF(($D$2:$D$401=D209)*ISNUMBER($R$2:$R$401),$R$2:$R$401)),""))</f>
        <v/>
      </c>
      <c r="AL209" s="17" t="str">
        <f aca="false">IF(ISNUMBER(AJ209),IF(AND(AJ209&gt;=Resumen!$C$5,OR(NOT(ISNUMBER(R209)),NOT(ISNUMBER(AK209)),R209&gt;=AK209)),"Ganador",IF(AJ209&lt;=Resumen!$C$6,"Perdedor","Normal")),IF(ISNUMBER(AH209),IF(AH209&gt;=Resumen!$C$5,"Ganador (7 d, provisional)",IF(AH209&lt;=Resumen!$C$6,"Perdedor (7 d, provisional)","Normal (7 d, provisional)")),""))</f>
        <v/>
      </c>
      <c r="AM209" s="18" t="str">
        <f aca="false">IF(AND(ISNUMBER(Z209),ISNUMBER(N209)),IF(N209&gt;0,Z209/N209*1000,""),"")</f>
        <v/>
      </c>
      <c r="AN209" s="19" t="str">
        <f aca="false">IF(AND(ISNUMBER(U209),ISNUMBER(N209)),IF(N209&gt;0,U209/N209*1000,""),"")</f>
        <v/>
      </c>
    </row>
    <row r="210" customFormat="false" ht="15" hidden="false" customHeight="false" outlineLevel="0" collapsed="false">
      <c r="A210" s="7"/>
      <c r="B210" s="7"/>
      <c r="C210" s="8"/>
      <c r="D210" s="7"/>
      <c r="E210" s="7"/>
      <c r="F210" s="7"/>
      <c r="G210" s="7"/>
      <c r="H210" s="7"/>
      <c r="I210" s="7"/>
      <c r="J210" s="7"/>
      <c r="K210" s="9"/>
      <c r="L210" s="10"/>
      <c r="M210" s="10"/>
      <c r="N210" s="10"/>
      <c r="O210" s="10"/>
      <c r="P210" s="11"/>
      <c r="Q210" s="9"/>
      <c r="R210" s="12" t="str">
        <f aca="false">IF(AND(ISNUMBER(K210),ISNUMBER(Q210),K210&gt;0),Q210/K210,"")</f>
        <v/>
      </c>
      <c r="S210" s="11"/>
      <c r="T210" s="9"/>
      <c r="U210" s="10"/>
      <c r="V210" s="11"/>
      <c r="W210" s="11"/>
      <c r="X210" s="11"/>
      <c r="Y210" s="12" t="str">
        <f aca="false">IF(COUNT(V210:X210)=0,"",MAX(0,1-SUM(V210:X210)))</f>
        <v/>
      </c>
      <c r="Z210" s="13"/>
      <c r="AA210" s="9"/>
      <c r="AB210" s="7"/>
      <c r="AC210" s="7"/>
      <c r="AD210" s="7"/>
      <c r="AE210" s="7"/>
      <c r="AF210" s="14" t="str">
        <f aca="false">IF(D210="","",COUNTIF($D$2:D210,D210))</f>
        <v/>
      </c>
      <c r="AG210" s="15" t="str">
        <f aca="false" t="array" ref="AG210:AG210">IF(D210="","",IFERROR(MEDIAN(IF(($D$2:$D$401=D210)*($AF$2:$AF$401&gt;=AF210-5)*($AF$2:$AF$401&lt;=AF210-1)*($M$2:$M$401&lt;&gt;""),$M$2:$M$401)),""))</f>
        <v/>
      </c>
      <c r="AH210" s="16" t="str">
        <f aca="false">IF(AND(ISNUMBER(M210),ISNUMBER(AG210)),IF(AG210&gt;0,M210/AG210,""),"")</f>
        <v/>
      </c>
      <c r="AI210" s="15" t="str">
        <f aca="false" t="array" ref="AI210:AI210">IF(D210="","",IFERROR(MEDIAN(IF(($D$2:$D$401=D210)*($AF$2:$AF$401&gt;=AF210-5)*($AF$2:$AF$401&lt;=AF210-1)*($N$2:$N$401&lt;&gt;""),$N$2:$N$401)),""))</f>
        <v/>
      </c>
      <c r="AJ210" s="16" t="str">
        <f aca="false">IF(AND(ISNUMBER(N210),ISNUMBER(AI210)),IF(AI210&gt;0,N210/AI210,""),"")</f>
        <v/>
      </c>
      <c r="AK210" s="12" t="str">
        <f aca="false" t="array" ref="AK210:AK210">IF(D210="","",IFERROR(MEDIAN(IF(($D$2:$D$401=D210)*ISNUMBER($R$2:$R$401),$R$2:$R$401)),""))</f>
        <v/>
      </c>
      <c r="AL210" s="17" t="str">
        <f aca="false">IF(ISNUMBER(AJ210),IF(AND(AJ210&gt;=Resumen!$C$5,OR(NOT(ISNUMBER(R210)),NOT(ISNUMBER(AK210)),R210&gt;=AK210)),"Ganador",IF(AJ210&lt;=Resumen!$C$6,"Perdedor","Normal")),IF(ISNUMBER(AH210),IF(AH210&gt;=Resumen!$C$5,"Ganador (7 d, provisional)",IF(AH210&lt;=Resumen!$C$6,"Perdedor (7 d, provisional)","Normal (7 d, provisional)")),""))</f>
        <v/>
      </c>
      <c r="AM210" s="18" t="str">
        <f aca="false">IF(AND(ISNUMBER(Z210),ISNUMBER(N210)),IF(N210&gt;0,Z210/N210*1000,""),"")</f>
        <v/>
      </c>
      <c r="AN210" s="19" t="str">
        <f aca="false">IF(AND(ISNUMBER(U210),ISNUMBER(N210)),IF(N210&gt;0,U210/N210*1000,""),"")</f>
        <v/>
      </c>
    </row>
    <row r="211" customFormat="false" ht="15" hidden="false" customHeight="false" outlineLevel="0" collapsed="false">
      <c r="A211" s="7"/>
      <c r="B211" s="7"/>
      <c r="C211" s="8"/>
      <c r="D211" s="7"/>
      <c r="E211" s="7"/>
      <c r="F211" s="7"/>
      <c r="G211" s="7"/>
      <c r="H211" s="7"/>
      <c r="I211" s="7"/>
      <c r="J211" s="7"/>
      <c r="K211" s="9"/>
      <c r="L211" s="10"/>
      <c r="M211" s="10"/>
      <c r="N211" s="10"/>
      <c r="O211" s="10"/>
      <c r="P211" s="11"/>
      <c r="Q211" s="9"/>
      <c r="R211" s="12" t="str">
        <f aca="false">IF(AND(ISNUMBER(K211),ISNUMBER(Q211),K211&gt;0),Q211/K211,"")</f>
        <v/>
      </c>
      <c r="S211" s="11"/>
      <c r="T211" s="9"/>
      <c r="U211" s="10"/>
      <c r="V211" s="11"/>
      <c r="W211" s="11"/>
      <c r="X211" s="11"/>
      <c r="Y211" s="12" t="str">
        <f aca="false">IF(COUNT(V211:X211)=0,"",MAX(0,1-SUM(V211:X211)))</f>
        <v/>
      </c>
      <c r="Z211" s="13"/>
      <c r="AA211" s="9"/>
      <c r="AB211" s="7"/>
      <c r="AC211" s="7"/>
      <c r="AD211" s="7"/>
      <c r="AE211" s="7"/>
      <c r="AF211" s="14" t="str">
        <f aca="false">IF(D211="","",COUNTIF($D$2:D211,D211))</f>
        <v/>
      </c>
      <c r="AG211" s="15" t="str">
        <f aca="false" t="array" ref="AG211:AG211">IF(D211="","",IFERROR(MEDIAN(IF(($D$2:$D$401=D211)*($AF$2:$AF$401&gt;=AF211-5)*($AF$2:$AF$401&lt;=AF211-1)*($M$2:$M$401&lt;&gt;""),$M$2:$M$401)),""))</f>
        <v/>
      </c>
      <c r="AH211" s="16" t="str">
        <f aca="false">IF(AND(ISNUMBER(M211),ISNUMBER(AG211)),IF(AG211&gt;0,M211/AG211,""),"")</f>
        <v/>
      </c>
      <c r="AI211" s="15" t="str">
        <f aca="false" t="array" ref="AI211:AI211">IF(D211="","",IFERROR(MEDIAN(IF(($D$2:$D$401=D211)*($AF$2:$AF$401&gt;=AF211-5)*($AF$2:$AF$401&lt;=AF211-1)*($N$2:$N$401&lt;&gt;""),$N$2:$N$401)),""))</f>
        <v/>
      </c>
      <c r="AJ211" s="16" t="str">
        <f aca="false">IF(AND(ISNUMBER(N211),ISNUMBER(AI211)),IF(AI211&gt;0,N211/AI211,""),"")</f>
        <v/>
      </c>
      <c r="AK211" s="12" t="str">
        <f aca="false" t="array" ref="AK211:AK211">IF(D211="","",IFERROR(MEDIAN(IF(($D$2:$D$401=D211)*ISNUMBER($R$2:$R$401),$R$2:$R$401)),""))</f>
        <v/>
      </c>
      <c r="AL211" s="17" t="str">
        <f aca="false">IF(ISNUMBER(AJ211),IF(AND(AJ211&gt;=Resumen!$C$5,OR(NOT(ISNUMBER(R211)),NOT(ISNUMBER(AK211)),R211&gt;=AK211)),"Ganador",IF(AJ211&lt;=Resumen!$C$6,"Perdedor","Normal")),IF(ISNUMBER(AH211),IF(AH211&gt;=Resumen!$C$5,"Ganador (7 d, provisional)",IF(AH211&lt;=Resumen!$C$6,"Perdedor (7 d, provisional)","Normal (7 d, provisional)")),""))</f>
        <v/>
      </c>
      <c r="AM211" s="18" t="str">
        <f aca="false">IF(AND(ISNUMBER(Z211),ISNUMBER(N211)),IF(N211&gt;0,Z211/N211*1000,""),"")</f>
        <v/>
      </c>
      <c r="AN211" s="19" t="str">
        <f aca="false">IF(AND(ISNUMBER(U211),ISNUMBER(N211)),IF(N211&gt;0,U211/N211*1000,""),"")</f>
        <v/>
      </c>
    </row>
    <row r="212" customFormat="false" ht="15" hidden="false" customHeight="false" outlineLevel="0" collapsed="false">
      <c r="A212" s="7"/>
      <c r="B212" s="7"/>
      <c r="C212" s="8"/>
      <c r="D212" s="7"/>
      <c r="E212" s="7"/>
      <c r="F212" s="7"/>
      <c r="G212" s="7"/>
      <c r="H212" s="7"/>
      <c r="I212" s="7"/>
      <c r="J212" s="7"/>
      <c r="K212" s="9"/>
      <c r="L212" s="10"/>
      <c r="M212" s="10"/>
      <c r="N212" s="10"/>
      <c r="O212" s="10"/>
      <c r="P212" s="11"/>
      <c r="Q212" s="9"/>
      <c r="R212" s="12" t="str">
        <f aca="false">IF(AND(ISNUMBER(K212),ISNUMBER(Q212),K212&gt;0),Q212/K212,"")</f>
        <v/>
      </c>
      <c r="S212" s="11"/>
      <c r="T212" s="9"/>
      <c r="U212" s="10"/>
      <c r="V212" s="11"/>
      <c r="W212" s="11"/>
      <c r="X212" s="11"/>
      <c r="Y212" s="12" t="str">
        <f aca="false">IF(COUNT(V212:X212)=0,"",MAX(0,1-SUM(V212:X212)))</f>
        <v/>
      </c>
      <c r="Z212" s="13"/>
      <c r="AA212" s="9"/>
      <c r="AB212" s="7"/>
      <c r="AC212" s="7"/>
      <c r="AD212" s="7"/>
      <c r="AE212" s="7"/>
      <c r="AF212" s="14" t="str">
        <f aca="false">IF(D212="","",COUNTIF($D$2:D212,D212))</f>
        <v/>
      </c>
      <c r="AG212" s="15" t="str">
        <f aca="false" t="array" ref="AG212:AG212">IF(D212="","",IFERROR(MEDIAN(IF(($D$2:$D$401=D212)*($AF$2:$AF$401&gt;=AF212-5)*($AF$2:$AF$401&lt;=AF212-1)*($M$2:$M$401&lt;&gt;""),$M$2:$M$401)),""))</f>
        <v/>
      </c>
      <c r="AH212" s="16" t="str">
        <f aca="false">IF(AND(ISNUMBER(M212),ISNUMBER(AG212)),IF(AG212&gt;0,M212/AG212,""),"")</f>
        <v/>
      </c>
      <c r="AI212" s="15" t="str">
        <f aca="false" t="array" ref="AI212:AI212">IF(D212="","",IFERROR(MEDIAN(IF(($D$2:$D$401=D212)*($AF$2:$AF$401&gt;=AF212-5)*($AF$2:$AF$401&lt;=AF212-1)*($N$2:$N$401&lt;&gt;""),$N$2:$N$401)),""))</f>
        <v/>
      </c>
      <c r="AJ212" s="16" t="str">
        <f aca="false">IF(AND(ISNUMBER(N212),ISNUMBER(AI212)),IF(AI212&gt;0,N212/AI212,""),"")</f>
        <v/>
      </c>
      <c r="AK212" s="12" t="str">
        <f aca="false" t="array" ref="AK212:AK212">IF(D212="","",IFERROR(MEDIAN(IF(($D$2:$D$401=D212)*ISNUMBER($R$2:$R$401),$R$2:$R$401)),""))</f>
        <v/>
      </c>
      <c r="AL212" s="17" t="str">
        <f aca="false">IF(ISNUMBER(AJ212),IF(AND(AJ212&gt;=Resumen!$C$5,OR(NOT(ISNUMBER(R212)),NOT(ISNUMBER(AK212)),R212&gt;=AK212)),"Ganador",IF(AJ212&lt;=Resumen!$C$6,"Perdedor","Normal")),IF(ISNUMBER(AH212),IF(AH212&gt;=Resumen!$C$5,"Ganador (7 d, provisional)",IF(AH212&lt;=Resumen!$C$6,"Perdedor (7 d, provisional)","Normal (7 d, provisional)")),""))</f>
        <v/>
      </c>
      <c r="AM212" s="18" t="str">
        <f aca="false">IF(AND(ISNUMBER(Z212),ISNUMBER(N212)),IF(N212&gt;0,Z212/N212*1000,""),"")</f>
        <v/>
      </c>
      <c r="AN212" s="19" t="str">
        <f aca="false">IF(AND(ISNUMBER(U212),ISNUMBER(N212)),IF(N212&gt;0,U212/N212*1000,""),"")</f>
        <v/>
      </c>
    </row>
    <row r="213" customFormat="false" ht="15" hidden="false" customHeight="false" outlineLevel="0" collapsed="false">
      <c r="A213" s="7"/>
      <c r="B213" s="7"/>
      <c r="C213" s="8"/>
      <c r="D213" s="7"/>
      <c r="E213" s="7"/>
      <c r="F213" s="7"/>
      <c r="G213" s="7"/>
      <c r="H213" s="7"/>
      <c r="I213" s="7"/>
      <c r="J213" s="7"/>
      <c r="K213" s="9"/>
      <c r="L213" s="10"/>
      <c r="M213" s="10"/>
      <c r="N213" s="10"/>
      <c r="O213" s="10"/>
      <c r="P213" s="11"/>
      <c r="Q213" s="9"/>
      <c r="R213" s="12" t="str">
        <f aca="false">IF(AND(ISNUMBER(K213),ISNUMBER(Q213),K213&gt;0),Q213/K213,"")</f>
        <v/>
      </c>
      <c r="S213" s="11"/>
      <c r="T213" s="9"/>
      <c r="U213" s="10"/>
      <c r="V213" s="11"/>
      <c r="W213" s="11"/>
      <c r="X213" s="11"/>
      <c r="Y213" s="12" t="str">
        <f aca="false">IF(COUNT(V213:X213)=0,"",MAX(0,1-SUM(V213:X213)))</f>
        <v/>
      </c>
      <c r="Z213" s="13"/>
      <c r="AA213" s="9"/>
      <c r="AB213" s="7"/>
      <c r="AC213" s="7"/>
      <c r="AD213" s="7"/>
      <c r="AE213" s="7"/>
      <c r="AF213" s="14" t="str">
        <f aca="false">IF(D213="","",COUNTIF($D$2:D213,D213))</f>
        <v/>
      </c>
      <c r="AG213" s="15" t="str">
        <f aca="false" t="array" ref="AG213:AG213">IF(D213="","",IFERROR(MEDIAN(IF(($D$2:$D$401=D213)*($AF$2:$AF$401&gt;=AF213-5)*($AF$2:$AF$401&lt;=AF213-1)*($M$2:$M$401&lt;&gt;""),$M$2:$M$401)),""))</f>
        <v/>
      </c>
      <c r="AH213" s="16" t="str">
        <f aca="false">IF(AND(ISNUMBER(M213),ISNUMBER(AG213)),IF(AG213&gt;0,M213/AG213,""),"")</f>
        <v/>
      </c>
      <c r="AI213" s="15" t="str">
        <f aca="false" t="array" ref="AI213:AI213">IF(D213="","",IFERROR(MEDIAN(IF(($D$2:$D$401=D213)*($AF$2:$AF$401&gt;=AF213-5)*($AF$2:$AF$401&lt;=AF213-1)*($N$2:$N$401&lt;&gt;""),$N$2:$N$401)),""))</f>
        <v/>
      </c>
      <c r="AJ213" s="16" t="str">
        <f aca="false">IF(AND(ISNUMBER(N213),ISNUMBER(AI213)),IF(AI213&gt;0,N213/AI213,""),"")</f>
        <v/>
      </c>
      <c r="AK213" s="12" t="str">
        <f aca="false" t="array" ref="AK213:AK213">IF(D213="","",IFERROR(MEDIAN(IF(($D$2:$D$401=D213)*ISNUMBER($R$2:$R$401),$R$2:$R$401)),""))</f>
        <v/>
      </c>
      <c r="AL213" s="17" t="str">
        <f aca="false">IF(ISNUMBER(AJ213),IF(AND(AJ213&gt;=Resumen!$C$5,OR(NOT(ISNUMBER(R213)),NOT(ISNUMBER(AK213)),R213&gt;=AK213)),"Ganador",IF(AJ213&lt;=Resumen!$C$6,"Perdedor","Normal")),IF(ISNUMBER(AH213),IF(AH213&gt;=Resumen!$C$5,"Ganador (7 d, provisional)",IF(AH213&lt;=Resumen!$C$6,"Perdedor (7 d, provisional)","Normal (7 d, provisional)")),""))</f>
        <v/>
      </c>
      <c r="AM213" s="18" t="str">
        <f aca="false">IF(AND(ISNUMBER(Z213),ISNUMBER(N213)),IF(N213&gt;0,Z213/N213*1000,""),"")</f>
        <v/>
      </c>
      <c r="AN213" s="19" t="str">
        <f aca="false">IF(AND(ISNUMBER(U213),ISNUMBER(N213)),IF(N213&gt;0,U213/N213*1000,""),"")</f>
        <v/>
      </c>
    </row>
    <row r="214" customFormat="false" ht="15" hidden="false" customHeight="false" outlineLevel="0" collapsed="false">
      <c r="A214" s="7"/>
      <c r="B214" s="7"/>
      <c r="C214" s="8"/>
      <c r="D214" s="7"/>
      <c r="E214" s="7"/>
      <c r="F214" s="7"/>
      <c r="G214" s="7"/>
      <c r="H214" s="7"/>
      <c r="I214" s="7"/>
      <c r="J214" s="7"/>
      <c r="K214" s="9"/>
      <c r="L214" s="10"/>
      <c r="M214" s="10"/>
      <c r="N214" s="10"/>
      <c r="O214" s="10"/>
      <c r="P214" s="11"/>
      <c r="Q214" s="9"/>
      <c r="R214" s="12" t="str">
        <f aca="false">IF(AND(ISNUMBER(K214),ISNUMBER(Q214),K214&gt;0),Q214/K214,"")</f>
        <v/>
      </c>
      <c r="S214" s="11"/>
      <c r="T214" s="9"/>
      <c r="U214" s="10"/>
      <c r="V214" s="11"/>
      <c r="W214" s="11"/>
      <c r="X214" s="11"/>
      <c r="Y214" s="12" t="str">
        <f aca="false">IF(COUNT(V214:X214)=0,"",MAX(0,1-SUM(V214:X214)))</f>
        <v/>
      </c>
      <c r="Z214" s="13"/>
      <c r="AA214" s="9"/>
      <c r="AB214" s="7"/>
      <c r="AC214" s="7"/>
      <c r="AD214" s="7"/>
      <c r="AE214" s="7"/>
      <c r="AF214" s="14" t="str">
        <f aca="false">IF(D214="","",COUNTIF($D$2:D214,D214))</f>
        <v/>
      </c>
      <c r="AG214" s="15" t="str">
        <f aca="false" t="array" ref="AG214:AG214">IF(D214="","",IFERROR(MEDIAN(IF(($D$2:$D$401=D214)*($AF$2:$AF$401&gt;=AF214-5)*($AF$2:$AF$401&lt;=AF214-1)*($M$2:$M$401&lt;&gt;""),$M$2:$M$401)),""))</f>
        <v/>
      </c>
      <c r="AH214" s="16" t="str">
        <f aca="false">IF(AND(ISNUMBER(M214),ISNUMBER(AG214)),IF(AG214&gt;0,M214/AG214,""),"")</f>
        <v/>
      </c>
      <c r="AI214" s="15" t="str">
        <f aca="false" t="array" ref="AI214:AI214">IF(D214="","",IFERROR(MEDIAN(IF(($D$2:$D$401=D214)*($AF$2:$AF$401&gt;=AF214-5)*($AF$2:$AF$401&lt;=AF214-1)*($N$2:$N$401&lt;&gt;""),$N$2:$N$401)),""))</f>
        <v/>
      </c>
      <c r="AJ214" s="16" t="str">
        <f aca="false">IF(AND(ISNUMBER(N214),ISNUMBER(AI214)),IF(AI214&gt;0,N214/AI214,""),"")</f>
        <v/>
      </c>
      <c r="AK214" s="12" t="str">
        <f aca="false" t="array" ref="AK214:AK214">IF(D214="","",IFERROR(MEDIAN(IF(($D$2:$D$401=D214)*ISNUMBER($R$2:$R$401),$R$2:$R$401)),""))</f>
        <v/>
      </c>
      <c r="AL214" s="17" t="str">
        <f aca="false">IF(ISNUMBER(AJ214),IF(AND(AJ214&gt;=Resumen!$C$5,OR(NOT(ISNUMBER(R214)),NOT(ISNUMBER(AK214)),R214&gt;=AK214)),"Ganador",IF(AJ214&lt;=Resumen!$C$6,"Perdedor","Normal")),IF(ISNUMBER(AH214),IF(AH214&gt;=Resumen!$C$5,"Ganador (7 d, provisional)",IF(AH214&lt;=Resumen!$C$6,"Perdedor (7 d, provisional)","Normal (7 d, provisional)")),""))</f>
        <v/>
      </c>
      <c r="AM214" s="18" t="str">
        <f aca="false">IF(AND(ISNUMBER(Z214),ISNUMBER(N214)),IF(N214&gt;0,Z214/N214*1000,""),"")</f>
        <v/>
      </c>
      <c r="AN214" s="19" t="str">
        <f aca="false">IF(AND(ISNUMBER(U214),ISNUMBER(N214)),IF(N214&gt;0,U214/N214*1000,""),"")</f>
        <v/>
      </c>
    </row>
    <row r="215" customFormat="false" ht="15" hidden="false" customHeight="false" outlineLevel="0" collapsed="false">
      <c r="A215" s="7"/>
      <c r="B215" s="7"/>
      <c r="C215" s="8"/>
      <c r="D215" s="7"/>
      <c r="E215" s="7"/>
      <c r="F215" s="7"/>
      <c r="G215" s="7"/>
      <c r="H215" s="7"/>
      <c r="I215" s="7"/>
      <c r="J215" s="7"/>
      <c r="K215" s="9"/>
      <c r="L215" s="10"/>
      <c r="M215" s="10"/>
      <c r="N215" s="10"/>
      <c r="O215" s="10"/>
      <c r="P215" s="11"/>
      <c r="Q215" s="9"/>
      <c r="R215" s="12" t="str">
        <f aca="false">IF(AND(ISNUMBER(K215),ISNUMBER(Q215),K215&gt;0),Q215/K215,"")</f>
        <v/>
      </c>
      <c r="S215" s="11"/>
      <c r="T215" s="9"/>
      <c r="U215" s="10"/>
      <c r="V215" s="11"/>
      <c r="W215" s="11"/>
      <c r="X215" s="11"/>
      <c r="Y215" s="12" t="str">
        <f aca="false">IF(COUNT(V215:X215)=0,"",MAX(0,1-SUM(V215:X215)))</f>
        <v/>
      </c>
      <c r="Z215" s="13"/>
      <c r="AA215" s="9"/>
      <c r="AB215" s="7"/>
      <c r="AC215" s="7"/>
      <c r="AD215" s="7"/>
      <c r="AE215" s="7"/>
      <c r="AF215" s="14" t="str">
        <f aca="false">IF(D215="","",COUNTIF($D$2:D215,D215))</f>
        <v/>
      </c>
      <c r="AG215" s="15" t="str">
        <f aca="false" t="array" ref="AG215:AG215">IF(D215="","",IFERROR(MEDIAN(IF(($D$2:$D$401=D215)*($AF$2:$AF$401&gt;=AF215-5)*($AF$2:$AF$401&lt;=AF215-1)*($M$2:$M$401&lt;&gt;""),$M$2:$M$401)),""))</f>
        <v/>
      </c>
      <c r="AH215" s="16" t="str">
        <f aca="false">IF(AND(ISNUMBER(M215),ISNUMBER(AG215)),IF(AG215&gt;0,M215/AG215,""),"")</f>
        <v/>
      </c>
      <c r="AI215" s="15" t="str">
        <f aca="false" t="array" ref="AI215:AI215">IF(D215="","",IFERROR(MEDIAN(IF(($D$2:$D$401=D215)*($AF$2:$AF$401&gt;=AF215-5)*($AF$2:$AF$401&lt;=AF215-1)*($N$2:$N$401&lt;&gt;""),$N$2:$N$401)),""))</f>
        <v/>
      </c>
      <c r="AJ215" s="16" t="str">
        <f aca="false">IF(AND(ISNUMBER(N215),ISNUMBER(AI215)),IF(AI215&gt;0,N215/AI215,""),"")</f>
        <v/>
      </c>
      <c r="AK215" s="12" t="str">
        <f aca="false" t="array" ref="AK215:AK215">IF(D215="","",IFERROR(MEDIAN(IF(($D$2:$D$401=D215)*ISNUMBER($R$2:$R$401),$R$2:$R$401)),""))</f>
        <v/>
      </c>
      <c r="AL215" s="17" t="str">
        <f aca="false">IF(ISNUMBER(AJ215),IF(AND(AJ215&gt;=Resumen!$C$5,OR(NOT(ISNUMBER(R215)),NOT(ISNUMBER(AK215)),R215&gt;=AK215)),"Ganador",IF(AJ215&lt;=Resumen!$C$6,"Perdedor","Normal")),IF(ISNUMBER(AH215),IF(AH215&gt;=Resumen!$C$5,"Ganador (7 d, provisional)",IF(AH215&lt;=Resumen!$C$6,"Perdedor (7 d, provisional)","Normal (7 d, provisional)")),""))</f>
        <v/>
      </c>
      <c r="AM215" s="18" t="str">
        <f aca="false">IF(AND(ISNUMBER(Z215),ISNUMBER(N215)),IF(N215&gt;0,Z215/N215*1000,""),"")</f>
        <v/>
      </c>
      <c r="AN215" s="19" t="str">
        <f aca="false">IF(AND(ISNUMBER(U215),ISNUMBER(N215)),IF(N215&gt;0,U215/N215*1000,""),"")</f>
        <v/>
      </c>
    </row>
    <row r="216" customFormat="false" ht="15" hidden="false" customHeight="false" outlineLevel="0" collapsed="false">
      <c r="A216" s="7"/>
      <c r="B216" s="7"/>
      <c r="C216" s="8"/>
      <c r="D216" s="7"/>
      <c r="E216" s="7"/>
      <c r="F216" s="7"/>
      <c r="G216" s="7"/>
      <c r="H216" s="7"/>
      <c r="I216" s="7"/>
      <c r="J216" s="7"/>
      <c r="K216" s="9"/>
      <c r="L216" s="10"/>
      <c r="M216" s="10"/>
      <c r="N216" s="10"/>
      <c r="O216" s="10"/>
      <c r="P216" s="11"/>
      <c r="Q216" s="9"/>
      <c r="R216" s="12" t="str">
        <f aca="false">IF(AND(ISNUMBER(K216),ISNUMBER(Q216),K216&gt;0),Q216/K216,"")</f>
        <v/>
      </c>
      <c r="S216" s="11"/>
      <c r="T216" s="9"/>
      <c r="U216" s="10"/>
      <c r="V216" s="11"/>
      <c r="W216" s="11"/>
      <c r="X216" s="11"/>
      <c r="Y216" s="12" t="str">
        <f aca="false">IF(COUNT(V216:X216)=0,"",MAX(0,1-SUM(V216:X216)))</f>
        <v/>
      </c>
      <c r="Z216" s="13"/>
      <c r="AA216" s="9"/>
      <c r="AB216" s="7"/>
      <c r="AC216" s="7"/>
      <c r="AD216" s="7"/>
      <c r="AE216" s="7"/>
      <c r="AF216" s="14" t="str">
        <f aca="false">IF(D216="","",COUNTIF($D$2:D216,D216))</f>
        <v/>
      </c>
      <c r="AG216" s="15" t="str">
        <f aca="false" t="array" ref="AG216:AG216">IF(D216="","",IFERROR(MEDIAN(IF(($D$2:$D$401=D216)*($AF$2:$AF$401&gt;=AF216-5)*($AF$2:$AF$401&lt;=AF216-1)*($M$2:$M$401&lt;&gt;""),$M$2:$M$401)),""))</f>
        <v/>
      </c>
      <c r="AH216" s="16" t="str">
        <f aca="false">IF(AND(ISNUMBER(M216),ISNUMBER(AG216)),IF(AG216&gt;0,M216/AG216,""),"")</f>
        <v/>
      </c>
      <c r="AI216" s="15" t="str">
        <f aca="false" t="array" ref="AI216:AI216">IF(D216="","",IFERROR(MEDIAN(IF(($D$2:$D$401=D216)*($AF$2:$AF$401&gt;=AF216-5)*($AF$2:$AF$401&lt;=AF216-1)*($N$2:$N$401&lt;&gt;""),$N$2:$N$401)),""))</f>
        <v/>
      </c>
      <c r="AJ216" s="16" t="str">
        <f aca="false">IF(AND(ISNUMBER(N216),ISNUMBER(AI216)),IF(AI216&gt;0,N216/AI216,""),"")</f>
        <v/>
      </c>
      <c r="AK216" s="12" t="str">
        <f aca="false" t="array" ref="AK216:AK216">IF(D216="","",IFERROR(MEDIAN(IF(($D$2:$D$401=D216)*ISNUMBER($R$2:$R$401),$R$2:$R$401)),""))</f>
        <v/>
      </c>
      <c r="AL216" s="17" t="str">
        <f aca="false">IF(ISNUMBER(AJ216),IF(AND(AJ216&gt;=Resumen!$C$5,OR(NOT(ISNUMBER(R216)),NOT(ISNUMBER(AK216)),R216&gt;=AK216)),"Ganador",IF(AJ216&lt;=Resumen!$C$6,"Perdedor","Normal")),IF(ISNUMBER(AH216),IF(AH216&gt;=Resumen!$C$5,"Ganador (7 d, provisional)",IF(AH216&lt;=Resumen!$C$6,"Perdedor (7 d, provisional)","Normal (7 d, provisional)")),""))</f>
        <v/>
      </c>
      <c r="AM216" s="18" t="str">
        <f aca="false">IF(AND(ISNUMBER(Z216),ISNUMBER(N216)),IF(N216&gt;0,Z216/N216*1000,""),"")</f>
        <v/>
      </c>
      <c r="AN216" s="19" t="str">
        <f aca="false">IF(AND(ISNUMBER(U216),ISNUMBER(N216)),IF(N216&gt;0,U216/N216*1000,""),"")</f>
        <v/>
      </c>
    </row>
    <row r="217" customFormat="false" ht="15" hidden="false" customHeight="false" outlineLevel="0" collapsed="false">
      <c r="A217" s="7"/>
      <c r="B217" s="7"/>
      <c r="C217" s="8"/>
      <c r="D217" s="7"/>
      <c r="E217" s="7"/>
      <c r="F217" s="7"/>
      <c r="G217" s="7"/>
      <c r="H217" s="7"/>
      <c r="I217" s="7"/>
      <c r="J217" s="7"/>
      <c r="K217" s="9"/>
      <c r="L217" s="10"/>
      <c r="M217" s="10"/>
      <c r="N217" s="10"/>
      <c r="O217" s="10"/>
      <c r="P217" s="11"/>
      <c r="Q217" s="9"/>
      <c r="R217" s="12" t="str">
        <f aca="false">IF(AND(ISNUMBER(K217),ISNUMBER(Q217),K217&gt;0),Q217/K217,"")</f>
        <v/>
      </c>
      <c r="S217" s="11"/>
      <c r="T217" s="9"/>
      <c r="U217" s="10"/>
      <c r="V217" s="11"/>
      <c r="W217" s="11"/>
      <c r="X217" s="11"/>
      <c r="Y217" s="12" t="str">
        <f aca="false">IF(COUNT(V217:X217)=0,"",MAX(0,1-SUM(V217:X217)))</f>
        <v/>
      </c>
      <c r="Z217" s="13"/>
      <c r="AA217" s="9"/>
      <c r="AB217" s="7"/>
      <c r="AC217" s="7"/>
      <c r="AD217" s="7"/>
      <c r="AE217" s="7"/>
      <c r="AF217" s="14" t="str">
        <f aca="false">IF(D217="","",COUNTIF($D$2:D217,D217))</f>
        <v/>
      </c>
      <c r="AG217" s="15" t="str">
        <f aca="false" t="array" ref="AG217:AG217">IF(D217="","",IFERROR(MEDIAN(IF(($D$2:$D$401=D217)*($AF$2:$AF$401&gt;=AF217-5)*($AF$2:$AF$401&lt;=AF217-1)*($M$2:$M$401&lt;&gt;""),$M$2:$M$401)),""))</f>
        <v/>
      </c>
      <c r="AH217" s="16" t="str">
        <f aca="false">IF(AND(ISNUMBER(M217),ISNUMBER(AG217)),IF(AG217&gt;0,M217/AG217,""),"")</f>
        <v/>
      </c>
      <c r="AI217" s="15" t="str">
        <f aca="false" t="array" ref="AI217:AI217">IF(D217="","",IFERROR(MEDIAN(IF(($D$2:$D$401=D217)*($AF$2:$AF$401&gt;=AF217-5)*($AF$2:$AF$401&lt;=AF217-1)*($N$2:$N$401&lt;&gt;""),$N$2:$N$401)),""))</f>
        <v/>
      </c>
      <c r="AJ217" s="16" t="str">
        <f aca="false">IF(AND(ISNUMBER(N217),ISNUMBER(AI217)),IF(AI217&gt;0,N217/AI217,""),"")</f>
        <v/>
      </c>
      <c r="AK217" s="12" t="str">
        <f aca="false" t="array" ref="AK217:AK217">IF(D217="","",IFERROR(MEDIAN(IF(($D$2:$D$401=D217)*ISNUMBER($R$2:$R$401),$R$2:$R$401)),""))</f>
        <v/>
      </c>
      <c r="AL217" s="17" t="str">
        <f aca="false">IF(ISNUMBER(AJ217),IF(AND(AJ217&gt;=Resumen!$C$5,OR(NOT(ISNUMBER(R217)),NOT(ISNUMBER(AK217)),R217&gt;=AK217)),"Ganador",IF(AJ217&lt;=Resumen!$C$6,"Perdedor","Normal")),IF(ISNUMBER(AH217),IF(AH217&gt;=Resumen!$C$5,"Ganador (7 d, provisional)",IF(AH217&lt;=Resumen!$C$6,"Perdedor (7 d, provisional)","Normal (7 d, provisional)")),""))</f>
        <v/>
      </c>
      <c r="AM217" s="18" t="str">
        <f aca="false">IF(AND(ISNUMBER(Z217),ISNUMBER(N217)),IF(N217&gt;0,Z217/N217*1000,""),"")</f>
        <v/>
      </c>
      <c r="AN217" s="19" t="str">
        <f aca="false">IF(AND(ISNUMBER(U217),ISNUMBER(N217)),IF(N217&gt;0,U217/N217*1000,""),"")</f>
        <v/>
      </c>
    </row>
    <row r="218" customFormat="false" ht="15" hidden="false" customHeight="false" outlineLevel="0" collapsed="false">
      <c r="A218" s="7"/>
      <c r="B218" s="7"/>
      <c r="C218" s="8"/>
      <c r="D218" s="7"/>
      <c r="E218" s="7"/>
      <c r="F218" s="7"/>
      <c r="G218" s="7"/>
      <c r="H218" s="7"/>
      <c r="I218" s="7"/>
      <c r="J218" s="7"/>
      <c r="K218" s="9"/>
      <c r="L218" s="10"/>
      <c r="M218" s="10"/>
      <c r="N218" s="10"/>
      <c r="O218" s="10"/>
      <c r="P218" s="11"/>
      <c r="Q218" s="9"/>
      <c r="R218" s="12" t="str">
        <f aca="false">IF(AND(ISNUMBER(K218),ISNUMBER(Q218),K218&gt;0),Q218/K218,"")</f>
        <v/>
      </c>
      <c r="S218" s="11"/>
      <c r="T218" s="9"/>
      <c r="U218" s="10"/>
      <c r="V218" s="11"/>
      <c r="W218" s="11"/>
      <c r="X218" s="11"/>
      <c r="Y218" s="12" t="str">
        <f aca="false">IF(COUNT(V218:X218)=0,"",MAX(0,1-SUM(V218:X218)))</f>
        <v/>
      </c>
      <c r="Z218" s="13"/>
      <c r="AA218" s="9"/>
      <c r="AB218" s="7"/>
      <c r="AC218" s="7"/>
      <c r="AD218" s="7"/>
      <c r="AE218" s="7"/>
      <c r="AF218" s="14" t="str">
        <f aca="false">IF(D218="","",COUNTIF($D$2:D218,D218))</f>
        <v/>
      </c>
      <c r="AG218" s="15" t="str">
        <f aca="false" t="array" ref="AG218:AG218">IF(D218="","",IFERROR(MEDIAN(IF(($D$2:$D$401=D218)*($AF$2:$AF$401&gt;=AF218-5)*($AF$2:$AF$401&lt;=AF218-1)*($M$2:$M$401&lt;&gt;""),$M$2:$M$401)),""))</f>
        <v/>
      </c>
      <c r="AH218" s="16" t="str">
        <f aca="false">IF(AND(ISNUMBER(M218),ISNUMBER(AG218)),IF(AG218&gt;0,M218/AG218,""),"")</f>
        <v/>
      </c>
      <c r="AI218" s="15" t="str">
        <f aca="false" t="array" ref="AI218:AI218">IF(D218="","",IFERROR(MEDIAN(IF(($D$2:$D$401=D218)*($AF$2:$AF$401&gt;=AF218-5)*($AF$2:$AF$401&lt;=AF218-1)*($N$2:$N$401&lt;&gt;""),$N$2:$N$401)),""))</f>
        <v/>
      </c>
      <c r="AJ218" s="16" t="str">
        <f aca="false">IF(AND(ISNUMBER(N218),ISNUMBER(AI218)),IF(AI218&gt;0,N218/AI218,""),"")</f>
        <v/>
      </c>
      <c r="AK218" s="12" t="str">
        <f aca="false" t="array" ref="AK218:AK218">IF(D218="","",IFERROR(MEDIAN(IF(($D$2:$D$401=D218)*ISNUMBER($R$2:$R$401),$R$2:$R$401)),""))</f>
        <v/>
      </c>
      <c r="AL218" s="17" t="str">
        <f aca="false">IF(ISNUMBER(AJ218),IF(AND(AJ218&gt;=Resumen!$C$5,OR(NOT(ISNUMBER(R218)),NOT(ISNUMBER(AK218)),R218&gt;=AK218)),"Ganador",IF(AJ218&lt;=Resumen!$C$6,"Perdedor","Normal")),IF(ISNUMBER(AH218),IF(AH218&gt;=Resumen!$C$5,"Ganador (7 d, provisional)",IF(AH218&lt;=Resumen!$C$6,"Perdedor (7 d, provisional)","Normal (7 d, provisional)")),""))</f>
        <v/>
      </c>
      <c r="AM218" s="18" t="str">
        <f aca="false">IF(AND(ISNUMBER(Z218),ISNUMBER(N218)),IF(N218&gt;0,Z218/N218*1000,""),"")</f>
        <v/>
      </c>
      <c r="AN218" s="19" t="str">
        <f aca="false">IF(AND(ISNUMBER(U218),ISNUMBER(N218)),IF(N218&gt;0,U218/N218*1000,""),"")</f>
        <v/>
      </c>
    </row>
    <row r="219" customFormat="false" ht="15" hidden="false" customHeight="false" outlineLevel="0" collapsed="false">
      <c r="A219" s="7"/>
      <c r="B219" s="7"/>
      <c r="C219" s="8"/>
      <c r="D219" s="7"/>
      <c r="E219" s="7"/>
      <c r="F219" s="7"/>
      <c r="G219" s="7"/>
      <c r="H219" s="7"/>
      <c r="I219" s="7"/>
      <c r="J219" s="7"/>
      <c r="K219" s="9"/>
      <c r="L219" s="10"/>
      <c r="M219" s="10"/>
      <c r="N219" s="10"/>
      <c r="O219" s="10"/>
      <c r="P219" s="11"/>
      <c r="Q219" s="9"/>
      <c r="R219" s="12" t="str">
        <f aca="false">IF(AND(ISNUMBER(K219),ISNUMBER(Q219),K219&gt;0),Q219/K219,"")</f>
        <v/>
      </c>
      <c r="S219" s="11"/>
      <c r="T219" s="9"/>
      <c r="U219" s="10"/>
      <c r="V219" s="11"/>
      <c r="W219" s="11"/>
      <c r="X219" s="11"/>
      <c r="Y219" s="12" t="str">
        <f aca="false">IF(COUNT(V219:X219)=0,"",MAX(0,1-SUM(V219:X219)))</f>
        <v/>
      </c>
      <c r="Z219" s="13"/>
      <c r="AA219" s="9"/>
      <c r="AB219" s="7"/>
      <c r="AC219" s="7"/>
      <c r="AD219" s="7"/>
      <c r="AE219" s="7"/>
      <c r="AF219" s="14" t="str">
        <f aca="false">IF(D219="","",COUNTIF($D$2:D219,D219))</f>
        <v/>
      </c>
      <c r="AG219" s="15" t="str">
        <f aca="false" t="array" ref="AG219:AG219">IF(D219="","",IFERROR(MEDIAN(IF(($D$2:$D$401=D219)*($AF$2:$AF$401&gt;=AF219-5)*($AF$2:$AF$401&lt;=AF219-1)*($M$2:$M$401&lt;&gt;""),$M$2:$M$401)),""))</f>
        <v/>
      </c>
      <c r="AH219" s="16" t="str">
        <f aca="false">IF(AND(ISNUMBER(M219),ISNUMBER(AG219)),IF(AG219&gt;0,M219/AG219,""),"")</f>
        <v/>
      </c>
      <c r="AI219" s="15" t="str">
        <f aca="false" t="array" ref="AI219:AI219">IF(D219="","",IFERROR(MEDIAN(IF(($D$2:$D$401=D219)*($AF$2:$AF$401&gt;=AF219-5)*($AF$2:$AF$401&lt;=AF219-1)*($N$2:$N$401&lt;&gt;""),$N$2:$N$401)),""))</f>
        <v/>
      </c>
      <c r="AJ219" s="16" t="str">
        <f aca="false">IF(AND(ISNUMBER(N219),ISNUMBER(AI219)),IF(AI219&gt;0,N219/AI219,""),"")</f>
        <v/>
      </c>
      <c r="AK219" s="12" t="str">
        <f aca="false" t="array" ref="AK219:AK219">IF(D219="","",IFERROR(MEDIAN(IF(($D$2:$D$401=D219)*ISNUMBER($R$2:$R$401),$R$2:$R$401)),""))</f>
        <v/>
      </c>
      <c r="AL219" s="17" t="str">
        <f aca="false">IF(ISNUMBER(AJ219),IF(AND(AJ219&gt;=Resumen!$C$5,OR(NOT(ISNUMBER(R219)),NOT(ISNUMBER(AK219)),R219&gt;=AK219)),"Ganador",IF(AJ219&lt;=Resumen!$C$6,"Perdedor","Normal")),IF(ISNUMBER(AH219),IF(AH219&gt;=Resumen!$C$5,"Ganador (7 d, provisional)",IF(AH219&lt;=Resumen!$C$6,"Perdedor (7 d, provisional)","Normal (7 d, provisional)")),""))</f>
        <v/>
      </c>
      <c r="AM219" s="18" t="str">
        <f aca="false">IF(AND(ISNUMBER(Z219),ISNUMBER(N219)),IF(N219&gt;0,Z219/N219*1000,""),"")</f>
        <v/>
      </c>
      <c r="AN219" s="19" t="str">
        <f aca="false">IF(AND(ISNUMBER(U219),ISNUMBER(N219)),IF(N219&gt;0,U219/N219*1000,""),"")</f>
        <v/>
      </c>
    </row>
    <row r="220" customFormat="false" ht="15" hidden="false" customHeight="false" outlineLevel="0" collapsed="false">
      <c r="A220" s="7"/>
      <c r="B220" s="7"/>
      <c r="C220" s="8"/>
      <c r="D220" s="7"/>
      <c r="E220" s="7"/>
      <c r="F220" s="7"/>
      <c r="G220" s="7"/>
      <c r="H220" s="7"/>
      <c r="I220" s="7"/>
      <c r="J220" s="7"/>
      <c r="K220" s="9"/>
      <c r="L220" s="10"/>
      <c r="M220" s="10"/>
      <c r="N220" s="10"/>
      <c r="O220" s="10"/>
      <c r="P220" s="11"/>
      <c r="Q220" s="9"/>
      <c r="R220" s="12" t="str">
        <f aca="false">IF(AND(ISNUMBER(K220),ISNUMBER(Q220),K220&gt;0),Q220/K220,"")</f>
        <v/>
      </c>
      <c r="S220" s="11"/>
      <c r="T220" s="9"/>
      <c r="U220" s="10"/>
      <c r="V220" s="11"/>
      <c r="W220" s="11"/>
      <c r="X220" s="11"/>
      <c r="Y220" s="12" t="str">
        <f aca="false">IF(COUNT(V220:X220)=0,"",MAX(0,1-SUM(V220:X220)))</f>
        <v/>
      </c>
      <c r="Z220" s="13"/>
      <c r="AA220" s="9"/>
      <c r="AB220" s="7"/>
      <c r="AC220" s="7"/>
      <c r="AD220" s="7"/>
      <c r="AE220" s="7"/>
      <c r="AF220" s="14" t="str">
        <f aca="false">IF(D220="","",COUNTIF($D$2:D220,D220))</f>
        <v/>
      </c>
      <c r="AG220" s="15" t="str">
        <f aca="false" t="array" ref="AG220:AG220">IF(D220="","",IFERROR(MEDIAN(IF(($D$2:$D$401=D220)*($AF$2:$AF$401&gt;=AF220-5)*($AF$2:$AF$401&lt;=AF220-1)*($M$2:$M$401&lt;&gt;""),$M$2:$M$401)),""))</f>
        <v/>
      </c>
      <c r="AH220" s="16" t="str">
        <f aca="false">IF(AND(ISNUMBER(M220),ISNUMBER(AG220)),IF(AG220&gt;0,M220/AG220,""),"")</f>
        <v/>
      </c>
      <c r="AI220" s="15" t="str">
        <f aca="false" t="array" ref="AI220:AI220">IF(D220="","",IFERROR(MEDIAN(IF(($D$2:$D$401=D220)*($AF$2:$AF$401&gt;=AF220-5)*($AF$2:$AF$401&lt;=AF220-1)*($N$2:$N$401&lt;&gt;""),$N$2:$N$401)),""))</f>
        <v/>
      </c>
      <c r="AJ220" s="16" t="str">
        <f aca="false">IF(AND(ISNUMBER(N220),ISNUMBER(AI220)),IF(AI220&gt;0,N220/AI220,""),"")</f>
        <v/>
      </c>
      <c r="AK220" s="12" t="str">
        <f aca="false" t="array" ref="AK220:AK220">IF(D220="","",IFERROR(MEDIAN(IF(($D$2:$D$401=D220)*ISNUMBER($R$2:$R$401),$R$2:$R$401)),""))</f>
        <v/>
      </c>
      <c r="AL220" s="17" t="str">
        <f aca="false">IF(ISNUMBER(AJ220),IF(AND(AJ220&gt;=Resumen!$C$5,OR(NOT(ISNUMBER(R220)),NOT(ISNUMBER(AK220)),R220&gt;=AK220)),"Ganador",IF(AJ220&lt;=Resumen!$C$6,"Perdedor","Normal")),IF(ISNUMBER(AH220),IF(AH220&gt;=Resumen!$C$5,"Ganador (7 d, provisional)",IF(AH220&lt;=Resumen!$C$6,"Perdedor (7 d, provisional)","Normal (7 d, provisional)")),""))</f>
        <v/>
      </c>
      <c r="AM220" s="18" t="str">
        <f aca="false">IF(AND(ISNUMBER(Z220),ISNUMBER(N220)),IF(N220&gt;0,Z220/N220*1000,""),"")</f>
        <v/>
      </c>
      <c r="AN220" s="19" t="str">
        <f aca="false">IF(AND(ISNUMBER(U220),ISNUMBER(N220)),IF(N220&gt;0,U220/N220*1000,""),"")</f>
        <v/>
      </c>
    </row>
    <row r="221" customFormat="false" ht="15" hidden="false" customHeight="false" outlineLevel="0" collapsed="false">
      <c r="A221" s="7"/>
      <c r="B221" s="7"/>
      <c r="C221" s="8"/>
      <c r="D221" s="7"/>
      <c r="E221" s="7"/>
      <c r="F221" s="7"/>
      <c r="G221" s="7"/>
      <c r="H221" s="7"/>
      <c r="I221" s="7"/>
      <c r="J221" s="7"/>
      <c r="K221" s="9"/>
      <c r="L221" s="10"/>
      <c r="M221" s="10"/>
      <c r="N221" s="10"/>
      <c r="O221" s="10"/>
      <c r="P221" s="11"/>
      <c r="Q221" s="9"/>
      <c r="R221" s="12" t="str">
        <f aca="false">IF(AND(ISNUMBER(K221),ISNUMBER(Q221),K221&gt;0),Q221/K221,"")</f>
        <v/>
      </c>
      <c r="S221" s="11"/>
      <c r="T221" s="9"/>
      <c r="U221" s="10"/>
      <c r="V221" s="11"/>
      <c r="W221" s="11"/>
      <c r="X221" s="11"/>
      <c r="Y221" s="12" t="str">
        <f aca="false">IF(COUNT(V221:X221)=0,"",MAX(0,1-SUM(V221:X221)))</f>
        <v/>
      </c>
      <c r="Z221" s="13"/>
      <c r="AA221" s="9"/>
      <c r="AB221" s="7"/>
      <c r="AC221" s="7"/>
      <c r="AD221" s="7"/>
      <c r="AE221" s="7"/>
      <c r="AF221" s="14" t="str">
        <f aca="false">IF(D221="","",COUNTIF($D$2:D221,D221))</f>
        <v/>
      </c>
      <c r="AG221" s="15" t="str">
        <f aca="false" t="array" ref="AG221:AG221">IF(D221="","",IFERROR(MEDIAN(IF(($D$2:$D$401=D221)*($AF$2:$AF$401&gt;=AF221-5)*($AF$2:$AF$401&lt;=AF221-1)*($M$2:$M$401&lt;&gt;""),$M$2:$M$401)),""))</f>
        <v/>
      </c>
      <c r="AH221" s="16" t="str">
        <f aca="false">IF(AND(ISNUMBER(M221),ISNUMBER(AG221)),IF(AG221&gt;0,M221/AG221,""),"")</f>
        <v/>
      </c>
      <c r="AI221" s="15" t="str">
        <f aca="false" t="array" ref="AI221:AI221">IF(D221="","",IFERROR(MEDIAN(IF(($D$2:$D$401=D221)*($AF$2:$AF$401&gt;=AF221-5)*($AF$2:$AF$401&lt;=AF221-1)*($N$2:$N$401&lt;&gt;""),$N$2:$N$401)),""))</f>
        <v/>
      </c>
      <c r="AJ221" s="16" t="str">
        <f aca="false">IF(AND(ISNUMBER(N221),ISNUMBER(AI221)),IF(AI221&gt;0,N221/AI221,""),"")</f>
        <v/>
      </c>
      <c r="AK221" s="12" t="str">
        <f aca="false" t="array" ref="AK221:AK221">IF(D221="","",IFERROR(MEDIAN(IF(($D$2:$D$401=D221)*ISNUMBER($R$2:$R$401),$R$2:$R$401)),""))</f>
        <v/>
      </c>
      <c r="AL221" s="17" t="str">
        <f aca="false">IF(ISNUMBER(AJ221),IF(AND(AJ221&gt;=Resumen!$C$5,OR(NOT(ISNUMBER(R221)),NOT(ISNUMBER(AK221)),R221&gt;=AK221)),"Ganador",IF(AJ221&lt;=Resumen!$C$6,"Perdedor","Normal")),IF(ISNUMBER(AH221),IF(AH221&gt;=Resumen!$C$5,"Ganador (7 d, provisional)",IF(AH221&lt;=Resumen!$C$6,"Perdedor (7 d, provisional)","Normal (7 d, provisional)")),""))</f>
        <v/>
      </c>
      <c r="AM221" s="18" t="str">
        <f aca="false">IF(AND(ISNUMBER(Z221),ISNUMBER(N221)),IF(N221&gt;0,Z221/N221*1000,""),"")</f>
        <v/>
      </c>
      <c r="AN221" s="19" t="str">
        <f aca="false">IF(AND(ISNUMBER(U221),ISNUMBER(N221)),IF(N221&gt;0,U221/N221*1000,""),"")</f>
        <v/>
      </c>
    </row>
    <row r="222" customFormat="false" ht="15" hidden="false" customHeight="false" outlineLevel="0" collapsed="false">
      <c r="A222" s="7"/>
      <c r="B222" s="7"/>
      <c r="C222" s="8"/>
      <c r="D222" s="7"/>
      <c r="E222" s="7"/>
      <c r="F222" s="7"/>
      <c r="G222" s="7"/>
      <c r="H222" s="7"/>
      <c r="I222" s="7"/>
      <c r="J222" s="7"/>
      <c r="K222" s="9"/>
      <c r="L222" s="10"/>
      <c r="M222" s="10"/>
      <c r="N222" s="10"/>
      <c r="O222" s="10"/>
      <c r="P222" s="11"/>
      <c r="Q222" s="9"/>
      <c r="R222" s="12" t="str">
        <f aca="false">IF(AND(ISNUMBER(K222),ISNUMBER(Q222),K222&gt;0),Q222/K222,"")</f>
        <v/>
      </c>
      <c r="S222" s="11"/>
      <c r="T222" s="9"/>
      <c r="U222" s="10"/>
      <c r="V222" s="11"/>
      <c r="W222" s="11"/>
      <c r="X222" s="11"/>
      <c r="Y222" s="12" t="str">
        <f aca="false">IF(COUNT(V222:X222)=0,"",MAX(0,1-SUM(V222:X222)))</f>
        <v/>
      </c>
      <c r="Z222" s="13"/>
      <c r="AA222" s="9"/>
      <c r="AB222" s="7"/>
      <c r="AC222" s="7"/>
      <c r="AD222" s="7"/>
      <c r="AE222" s="7"/>
      <c r="AF222" s="14" t="str">
        <f aca="false">IF(D222="","",COUNTIF($D$2:D222,D222))</f>
        <v/>
      </c>
      <c r="AG222" s="15" t="str">
        <f aca="false" t="array" ref="AG222:AG222">IF(D222="","",IFERROR(MEDIAN(IF(($D$2:$D$401=D222)*($AF$2:$AF$401&gt;=AF222-5)*($AF$2:$AF$401&lt;=AF222-1)*($M$2:$M$401&lt;&gt;""),$M$2:$M$401)),""))</f>
        <v/>
      </c>
      <c r="AH222" s="16" t="str">
        <f aca="false">IF(AND(ISNUMBER(M222),ISNUMBER(AG222)),IF(AG222&gt;0,M222/AG222,""),"")</f>
        <v/>
      </c>
      <c r="AI222" s="15" t="str">
        <f aca="false" t="array" ref="AI222:AI222">IF(D222="","",IFERROR(MEDIAN(IF(($D$2:$D$401=D222)*($AF$2:$AF$401&gt;=AF222-5)*($AF$2:$AF$401&lt;=AF222-1)*($N$2:$N$401&lt;&gt;""),$N$2:$N$401)),""))</f>
        <v/>
      </c>
      <c r="AJ222" s="16" t="str">
        <f aca="false">IF(AND(ISNUMBER(N222),ISNUMBER(AI222)),IF(AI222&gt;0,N222/AI222,""),"")</f>
        <v/>
      </c>
      <c r="AK222" s="12" t="str">
        <f aca="false" t="array" ref="AK222:AK222">IF(D222="","",IFERROR(MEDIAN(IF(($D$2:$D$401=D222)*ISNUMBER($R$2:$R$401),$R$2:$R$401)),""))</f>
        <v/>
      </c>
      <c r="AL222" s="17" t="str">
        <f aca="false">IF(ISNUMBER(AJ222),IF(AND(AJ222&gt;=Resumen!$C$5,OR(NOT(ISNUMBER(R222)),NOT(ISNUMBER(AK222)),R222&gt;=AK222)),"Ganador",IF(AJ222&lt;=Resumen!$C$6,"Perdedor","Normal")),IF(ISNUMBER(AH222),IF(AH222&gt;=Resumen!$C$5,"Ganador (7 d, provisional)",IF(AH222&lt;=Resumen!$C$6,"Perdedor (7 d, provisional)","Normal (7 d, provisional)")),""))</f>
        <v/>
      </c>
      <c r="AM222" s="18" t="str">
        <f aca="false">IF(AND(ISNUMBER(Z222),ISNUMBER(N222)),IF(N222&gt;0,Z222/N222*1000,""),"")</f>
        <v/>
      </c>
      <c r="AN222" s="19" t="str">
        <f aca="false">IF(AND(ISNUMBER(U222),ISNUMBER(N222)),IF(N222&gt;0,U222/N222*1000,""),"")</f>
        <v/>
      </c>
    </row>
    <row r="223" customFormat="false" ht="15" hidden="false" customHeight="false" outlineLevel="0" collapsed="false">
      <c r="A223" s="7"/>
      <c r="B223" s="7"/>
      <c r="C223" s="8"/>
      <c r="D223" s="7"/>
      <c r="E223" s="7"/>
      <c r="F223" s="7"/>
      <c r="G223" s="7"/>
      <c r="H223" s="7"/>
      <c r="I223" s="7"/>
      <c r="J223" s="7"/>
      <c r="K223" s="9"/>
      <c r="L223" s="10"/>
      <c r="M223" s="10"/>
      <c r="N223" s="10"/>
      <c r="O223" s="10"/>
      <c r="P223" s="11"/>
      <c r="Q223" s="9"/>
      <c r="R223" s="12" t="str">
        <f aca="false">IF(AND(ISNUMBER(K223),ISNUMBER(Q223),K223&gt;0),Q223/K223,"")</f>
        <v/>
      </c>
      <c r="S223" s="11"/>
      <c r="T223" s="9"/>
      <c r="U223" s="10"/>
      <c r="V223" s="11"/>
      <c r="W223" s="11"/>
      <c r="X223" s="11"/>
      <c r="Y223" s="12" t="str">
        <f aca="false">IF(COUNT(V223:X223)=0,"",MAX(0,1-SUM(V223:X223)))</f>
        <v/>
      </c>
      <c r="Z223" s="13"/>
      <c r="AA223" s="9"/>
      <c r="AB223" s="7"/>
      <c r="AC223" s="7"/>
      <c r="AD223" s="7"/>
      <c r="AE223" s="7"/>
      <c r="AF223" s="14" t="str">
        <f aca="false">IF(D223="","",COUNTIF($D$2:D223,D223))</f>
        <v/>
      </c>
      <c r="AG223" s="15" t="str">
        <f aca="false" t="array" ref="AG223:AG223">IF(D223="","",IFERROR(MEDIAN(IF(($D$2:$D$401=D223)*($AF$2:$AF$401&gt;=AF223-5)*($AF$2:$AF$401&lt;=AF223-1)*($M$2:$M$401&lt;&gt;""),$M$2:$M$401)),""))</f>
        <v/>
      </c>
      <c r="AH223" s="16" t="str">
        <f aca="false">IF(AND(ISNUMBER(M223),ISNUMBER(AG223)),IF(AG223&gt;0,M223/AG223,""),"")</f>
        <v/>
      </c>
      <c r="AI223" s="15" t="str">
        <f aca="false" t="array" ref="AI223:AI223">IF(D223="","",IFERROR(MEDIAN(IF(($D$2:$D$401=D223)*($AF$2:$AF$401&gt;=AF223-5)*($AF$2:$AF$401&lt;=AF223-1)*($N$2:$N$401&lt;&gt;""),$N$2:$N$401)),""))</f>
        <v/>
      </c>
      <c r="AJ223" s="16" t="str">
        <f aca="false">IF(AND(ISNUMBER(N223),ISNUMBER(AI223)),IF(AI223&gt;0,N223/AI223,""),"")</f>
        <v/>
      </c>
      <c r="AK223" s="12" t="str">
        <f aca="false" t="array" ref="AK223:AK223">IF(D223="","",IFERROR(MEDIAN(IF(($D$2:$D$401=D223)*ISNUMBER($R$2:$R$401),$R$2:$R$401)),""))</f>
        <v/>
      </c>
      <c r="AL223" s="17" t="str">
        <f aca="false">IF(ISNUMBER(AJ223),IF(AND(AJ223&gt;=Resumen!$C$5,OR(NOT(ISNUMBER(R223)),NOT(ISNUMBER(AK223)),R223&gt;=AK223)),"Ganador",IF(AJ223&lt;=Resumen!$C$6,"Perdedor","Normal")),IF(ISNUMBER(AH223),IF(AH223&gt;=Resumen!$C$5,"Ganador (7 d, provisional)",IF(AH223&lt;=Resumen!$C$6,"Perdedor (7 d, provisional)","Normal (7 d, provisional)")),""))</f>
        <v/>
      </c>
      <c r="AM223" s="18" t="str">
        <f aca="false">IF(AND(ISNUMBER(Z223),ISNUMBER(N223)),IF(N223&gt;0,Z223/N223*1000,""),"")</f>
        <v/>
      </c>
      <c r="AN223" s="19" t="str">
        <f aca="false">IF(AND(ISNUMBER(U223),ISNUMBER(N223)),IF(N223&gt;0,U223/N223*1000,""),"")</f>
        <v/>
      </c>
    </row>
    <row r="224" customFormat="false" ht="15" hidden="false" customHeight="false" outlineLevel="0" collapsed="false">
      <c r="A224" s="7"/>
      <c r="B224" s="7"/>
      <c r="C224" s="8"/>
      <c r="D224" s="7"/>
      <c r="E224" s="7"/>
      <c r="F224" s="7"/>
      <c r="G224" s="7"/>
      <c r="H224" s="7"/>
      <c r="I224" s="7"/>
      <c r="J224" s="7"/>
      <c r="K224" s="9"/>
      <c r="L224" s="10"/>
      <c r="M224" s="10"/>
      <c r="N224" s="10"/>
      <c r="O224" s="10"/>
      <c r="P224" s="11"/>
      <c r="Q224" s="9"/>
      <c r="R224" s="12" t="str">
        <f aca="false">IF(AND(ISNUMBER(K224),ISNUMBER(Q224),K224&gt;0),Q224/K224,"")</f>
        <v/>
      </c>
      <c r="S224" s="11"/>
      <c r="T224" s="9"/>
      <c r="U224" s="10"/>
      <c r="V224" s="11"/>
      <c r="W224" s="11"/>
      <c r="X224" s="11"/>
      <c r="Y224" s="12" t="str">
        <f aca="false">IF(COUNT(V224:X224)=0,"",MAX(0,1-SUM(V224:X224)))</f>
        <v/>
      </c>
      <c r="Z224" s="13"/>
      <c r="AA224" s="9"/>
      <c r="AB224" s="7"/>
      <c r="AC224" s="7"/>
      <c r="AD224" s="7"/>
      <c r="AE224" s="7"/>
      <c r="AF224" s="14" t="str">
        <f aca="false">IF(D224="","",COUNTIF($D$2:D224,D224))</f>
        <v/>
      </c>
      <c r="AG224" s="15" t="str">
        <f aca="false" t="array" ref="AG224:AG224">IF(D224="","",IFERROR(MEDIAN(IF(($D$2:$D$401=D224)*($AF$2:$AF$401&gt;=AF224-5)*($AF$2:$AF$401&lt;=AF224-1)*($M$2:$M$401&lt;&gt;""),$M$2:$M$401)),""))</f>
        <v/>
      </c>
      <c r="AH224" s="16" t="str">
        <f aca="false">IF(AND(ISNUMBER(M224),ISNUMBER(AG224)),IF(AG224&gt;0,M224/AG224,""),"")</f>
        <v/>
      </c>
      <c r="AI224" s="15" t="str">
        <f aca="false" t="array" ref="AI224:AI224">IF(D224="","",IFERROR(MEDIAN(IF(($D$2:$D$401=D224)*($AF$2:$AF$401&gt;=AF224-5)*($AF$2:$AF$401&lt;=AF224-1)*($N$2:$N$401&lt;&gt;""),$N$2:$N$401)),""))</f>
        <v/>
      </c>
      <c r="AJ224" s="16" t="str">
        <f aca="false">IF(AND(ISNUMBER(N224),ISNUMBER(AI224)),IF(AI224&gt;0,N224/AI224,""),"")</f>
        <v/>
      </c>
      <c r="AK224" s="12" t="str">
        <f aca="false" t="array" ref="AK224:AK224">IF(D224="","",IFERROR(MEDIAN(IF(($D$2:$D$401=D224)*ISNUMBER($R$2:$R$401),$R$2:$R$401)),""))</f>
        <v/>
      </c>
      <c r="AL224" s="17" t="str">
        <f aca="false">IF(ISNUMBER(AJ224),IF(AND(AJ224&gt;=Resumen!$C$5,OR(NOT(ISNUMBER(R224)),NOT(ISNUMBER(AK224)),R224&gt;=AK224)),"Ganador",IF(AJ224&lt;=Resumen!$C$6,"Perdedor","Normal")),IF(ISNUMBER(AH224),IF(AH224&gt;=Resumen!$C$5,"Ganador (7 d, provisional)",IF(AH224&lt;=Resumen!$C$6,"Perdedor (7 d, provisional)","Normal (7 d, provisional)")),""))</f>
        <v/>
      </c>
      <c r="AM224" s="18" t="str">
        <f aca="false">IF(AND(ISNUMBER(Z224),ISNUMBER(N224)),IF(N224&gt;0,Z224/N224*1000,""),"")</f>
        <v/>
      </c>
      <c r="AN224" s="19" t="str">
        <f aca="false">IF(AND(ISNUMBER(U224),ISNUMBER(N224)),IF(N224&gt;0,U224/N224*1000,""),"")</f>
        <v/>
      </c>
    </row>
    <row r="225" customFormat="false" ht="15" hidden="false" customHeight="false" outlineLevel="0" collapsed="false">
      <c r="A225" s="7"/>
      <c r="B225" s="7"/>
      <c r="C225" s="8"/>
      <c r="D225" s="7"/>
      <c r="E225" s="7"/>
      <c r="F225" s="7"/>
      <c r="G225" s="7"/>
      <c r="H225" s="7"/>
      <c r="I225" s="7"/>
      <c r="J225" s="7"/>
      <c r="K225" s="9"/>
      <c r="L225" s="10"/>
      <c r="M225" s="10"/>
      <c r="N225" s="10"/>
      <c r="O225" s="10"/>
      <c r="P225" s="11"/>
      <c r="Q225" s="9"/>
      <c r="R225" s="12" t="str">
        <f aca="false">IF(AND(ISNUMBER(K225),ISNUMBER(Q225),K225&gt;0),Q225/K225,"")</f>
        <v/>
      </c>
      <c r="S225" s="11"/>
      <c r="T225" s="9"/>
      <c r="U225" s="10"/>
      <c r="V225" s="11"/>
      <c r="W225" s="11"/>
      <c r="X225" s="11"/>
      <c r="Y225" s="12" t="str">
        <f aca="false">IF(COUNT(V225:X225)=0,"",MAX(0,1-SUM(V225:X225)))</f>
        <v/>
      </c>
      <c r="Z225" s="13"/>
      <c r="AA225" s="9"/>
      <c r="AB225" s="7"/>
      <c r="AC225" s="7"/>
      <c r="AD225" s="7"/>
      <c r="AE225" s="7"/>
      <c r="AF225" s="14" t="str">
        <f aca="false">IF(D225="","",COUNTIF($D$2:D225,D225))</f>
        <v/>
      </c>
      <c r="AG225" s="15" t="str">
        <f aca="false" t="array" ref="AG225:AG225">IF(D225="","",IFERROR(MEDIAN(IF(($D$2:$D$401=D225)*($AF$2:$AF$401&gt;=AF225-5)*($AF$2:$AF$401&lt;=AF225-1)*($M$2:$M$401&lt;&gt;""),$M$2:$M$401)),""))</f>
        <v/>
      </c>
      <c r="AH225" s="16" t="str">
        <f aca="false">IF(AND(ISNUMBER(M225),ISNUMBER(AG225)),IF(AG225&gt;0,M225/AG225,""),"")</f>
        <v/>
      </c>
      <c r="AI225" s="15" t="str">
        <f aca="false" t="array" ref="AI225:AI225">IF(D225="","",IFERROR(MEDIAN(IF(($D$2:$D$401=D225)*($AF$2:$AF$401&gt;=AF225-5)*($AF$2:$AF$401&lt;=AF225-1)*($N$2:$N$401&lt;&gt;""),$N$2:$N$401)),""))</f>
        <v/>
      </c>
      <c r="AJ225" s="16" t="str">
        <f aca="false">IF(AND(ISNUMBER(N225),ISNUMBER(AI225)),IF(AI225&gt;0,N225/AI225,""),"")</f>
        <v/>
      </c>
      <c r="AK225" s="12" t="str">
        <f aca="false" t="array" ref="AK225:AK225">IF(D225="","",IFERROR(MEDIAN(IF(($D$2:$D$401=D225)*ISNUMBER($R$2:$R$401),$R$2:$R$401)),""))</f>
        <v/>
      </c>
      <c r="AL225" s="17" t="str">
        <f aca="false">IF(ISNUMBER(AJ225),IF(AND(AJ225&gt;=Resumen!$C$5,OR(NOT(ISNUMBER(R225)),NOT(ISNUMBER(AK225)),R225&gt;=AK225)),"Ganador",IF(AJ225&lt;=Resumen!$C$6,"Perdedor","Normal")),IF(ISNUMBER(AH225),IF(AH225&gt;=Resumen!$C$5,"Ganador (7 d, provisional)",IF(AH225&lt;=Resumen!$C$6,"Perdedor (7 d, provisional)","Normal (7 d, provisional)")),""))</f>
        <v/>
      </c>
      <c r="AM225" s="18" t="str">
        <f aca="false">IF(AND(ISNUMBER(Z225),ISNUMBER(N225)),IF(N225&gt;0,Z225/N225*1000,""),"")</f>
        <v/>
      </c>
      <c r="AN225" s="19" t="str">
        <f aca="false">IF(AND(ISNUMBER(U225),ISNUMBER(N225)),IF(N225&gt;0,U225/N225*1000,""),"")</f>
        <v/>
      </c>
    </row>
    <row r="226" customFormat="false" ht="15" hidden="false" customHeight="false" outlineLevel="0" collapsed="false">
      <c r="A226" s="7"/>
      <c r="B226" s="7"/>
      <c r="C226" s="8"/>
      <c r="D226" s="7"/>
      <c r="E226" s="7"/>
      <c r="F226" s="7"/>
      <c r="G226" s="7"/>
      <c r="H226" s="7"/>
      <c r="I226" s="7"/>
      <c r="J226" s="7"/>
      <c r="K226" s="9"/>
      <c r="L226" s="10"/>
      <c r="M226" s="10"/>
      <c r="N226" s="10"/>
      <c r="O226" s="10"/>
      <c r="P226" s="11"/>
      <c r="Q226" s="9"/>
      <c r="R226" s="12" t="str">
        <f aca="false">IF(AND(ISNUMBER(K226),ISNUMBER(Q226),K226&gt;0),Q226/K226,"")</f>
        <v/>
      </c>
      <c r="S226" s="11"/>
      <c r="T226" s="9"/>
      <c r="U226" s="10"/>
      <c r="V226" s="11"/>
      <c r="W226" s="11"/>
      <c r="X226" s="11"/>
      <c r="Y226" s="12" t="str">
        <f aca="false">IF(COUNT(V226:X226)=0,"",MAX(0,1-SUM(V226:X226)))</f>
        <v/>
      </c>
      <c r="Z226" s="13"/>
      <c r="AA226" s="9"/>
      <c r="AB226" s="7"/>
      <c r="AC226" s="7"/>
      <c r="AD226" s="7"/>
      <c r="AE226" s="7"/>
      <c r="AF226" s="14" t="str">
        <f aca="false">IF(D226="","",COUNTIF($D$2:D226,D226))</f>
        <v/>
      </c>
      <c r="AG226" s="15" t="str">
        <f aca="false" t="array" ref="AG226:AG226">IF(D226="","",IFERROR(MEDIAN(IF(($D$2:$D$401=D226)*($AF$2:$AF$401&gt;=AF226-5)*($AF$2:$AF$401&lt;=AF226-1)*($M$2:$M$401&lt;&gt;""),$M$2:$M$401)),""))</f>
        <v/>
      </c>
      <c r="AH226" s="16" t="str">
        <f aca="false">IF(AND(ISNUMBER(M226),ISNUMBER(AG226)),IF(AG226&gt;0,M226/AG226,""),"")</f>
        <v/>
      </c>
      <c r="AI226" s="15" t="str">
        <f aca="false" t="array" ref="AI226:AI226">IF(D226="","",IFERROR(MEDIAN(IF(($D$2:$D$401=D226)*($AF$2:$AF$401&gt;=AF226-5)*($AF$2:$AF$401&lt;=AF226-1)*($N$2:$N$401&lt;&gt;""),$N$2:$N$401)),""))</f>
        <v/>
      </c>
      <c r="AJ226" s="16" t="str">
        <f aca="false">IF(AND(ISNUMBER(N226),ISNUMBER(AI226)),IF(AI226&gt;0,N226/AI226,""),"")</f>
        <v/>
      </c>
      <c r="AK226" s="12" t="str">
        <f aca="false" t="array" ref="AK226:AK226">IF(D226="","",IFERROR(MEDIAN(IF(($D$2:$D$401=D226)*ISNUMBER($R$2:$R$401),$R$2:$R$401)),""))</f>
        <v/>
      </c>
      <c r="AL226" s="17" t="str">
        <f aca="false">IF(ISNUMBER(AJ226),IF(AND(AJ226&gt;=Resumen!$C$5,OR(NOT(ISNUMBER(R226)),NOT(ISNUMBER(AK226)),R226&gt;=AK226)),"Ganador",IF(AJ226&lt;=Resumen!$C$6,"Perdedor","Normal")),IF(ISNUMBER(AH226),IF(AH226&gt;=Resumen!$C$5,"Ganador (7 d, provisional)",IF(AH226&lt;=Resumen!$C$6,"Perdedor (7 d, provisional)","Normal (7 d, provisional)")),""))</f>
        <v/>
      </c>
      <c r="AM226" s="18" t="str">
        <f aca="false">IF(AND(ISNUMBER(Z226),ISNUMBER(N226)),IF(N226&gt;0,Z226/N226*1000,""),"")</f>
        <v/>
      </c>
      <c r="AN226" s="19" t="str">
        <f aca="false">IF(AND(ISNUMBER(U226),ISNUMBER(N226)),IF(N226&gt;0,U226/N226*1000,""),"")</f>
        <v/>
      </c>
    </row>
    <row r="227" customFormat="false" ht="15" hidden="false" customHeight="false" outlineLevel="0" collapsed="false">
      <c r="A227" s="7"/>
      <c r="B227" s="7"/>
      <c r="C227" s="8"/>
      <c r="D227" s="7"/>
      <c r="E227" s="7"/>
      <c r="F227" s="7"/>
      <c r="G227" s="7"/>
      <c r="H227" s="7"/>
      <c r="I227" s="7"/>
      <c r="J227" s="7"/>
      <c r="K227" s="9"/>
      <c r="L227" s="10"/>
      <c r="M227" s="10"/>
      <c r="N227" s="10"/>
      <c r="O227" s="10"/>
      <c r="P227" s="11"/>
      <c r="Q227" s="9"/>
      <c r="R227" s="12" t="str">
        <f aca="false">IF(AND(ISNUMBER(K227),ISNUMBER(Q227),K227&gt;0),Q227/K227,"")</f>
        <v/>
      </c>
      <c r="S227" s="11"/>
      <c r="T227" s="9"/>
      <c r="U227" s="10"/>
      <c r="V227" s="11"/>
      <c r="W227" s="11"/>
      <c r="X227" s="11"/>
      <c r="Y227" s="12" t="str">
        <f aca="false">IF(COUNT(V227:X227)=0,"",MAX(0,1-SUM(V227:X227)))</f>
        <v/>
      </c>
      <c r="Z227" s="13"/>
      <c r="AA227" s="9"/>
      <c r="AB227" s="7"/>
      <c r="AC227" s="7"/>
      <c r="AD227" s="7"/>
      <c r="AE227" s="7"/>
      <c r="AF227" s="14" t="str">
        <f aca="false">IF(D227="","",COUNTIF($D$2:D227,D227))</f>
        <v/>
      </c>
      <c r="AG227" s="15" t="str">
        <f aca="false" t="array" ref="AG227:AG227">IF(D227="","",IFERROR(MEDIAN(IF(($D$2:$D$401=D227)*($AF$2:$AF$401&gt;=AF227-5)*($AF$2:$AF$401&lt;=AF227-1)*($M$2:$M$401&lt;&gt;""),$M$2:$M$401)),""))</f>
        <v/>
      </c>
      <c r="AH227" s="16" t="str">
        <f aca="false">IF(AND(ISNUMBER(M227),ISNUMBER(AG227)),IF(AG227&gt;0,M227/AG227,""),"")</f>
        <v/>
      </c>
      <c r="AI227" s="15" t="str">
        <f aca="false" t="array" ref="AI227:AI227">IF(D227="","",IFERROR(MEDIAN(IF(($D$2:$D$401=D227)*($AF$2:$AF$401&gt;=AF227-5)*($AF$2:$AF$401&lt;=AF227-1)*($N$2:$N$401&lt;&gt;""),$N$2:$N$401)),""))</f>
        <v/>
      </c>
      <c r="AJ227" s="16" t="str">
        <f aca="false">IF(AND(ISNUMBER(N227),ISNUMBER(AI227)),IF(AI227&gt;0,N227/AI227,""),"")</f>
        <v/>
      </c>
      <c r="AK227" s="12" t="str">
        <f aca="false" t="array" ref="AK227:AK227">IF(D227="","",IFERROR(MEDIAN(IF(($D$2:$D$401=D227)*ISNUMBER($R$2:$R$401),$R$2:$R$401)),""))</f>
        <v/>
      </c>
      <c r="AL227" s="17" t="str">
        <f aca="false">IF(ISNUMBER(AJ227),IF(AND(AJ227&gt;=Resumen!$C$5,OR(NOT(ISNUMBER(R227)),NOT(ISNUMBER(AK227)),R227&gt;=AK227)),"Ganador",IF(AJ227&lt;=Resumen!$C$6,"Perdedor","Normal")),IF(ISNUMBER(AH227),IF(AH227&gt;=Resumen!$C$5,"Ganador (7 d, provisional)",IF(AH227&lt;=Resumen!$C$6,"Perdedor (7 d, provisional)","Normal (7 d, provisional)")),""))</f>
        <v/>
      </c>
      <c r="AM227" s="18" t="str">
        <f aca="false">IF(AND(ISNUMBER(Z227),ISNUMBER(N227)),IF(N227&gt;0,Z227/N227*1000,""),"")</f>
        <v/>
      </c>
      <c r="AN227" s="19" t="str">
        <f aca="false">IF(AND(ISNUMBER(U227),ISNUMBER(N227)),IF(N227&gt;0,U227/N227*1000,""),"")</f>
        <v/>
      </c>
    </row>
    <row r="228" customFormat="false" ht="15" hidden="false" customHeight="false" outlineLevel="0" collapsed="false">
      <c r="A228" s="7"/>
      <c r="B228" s="7"/>
      <c r="C228" s="8"/>
      <c r="D228" s="7"/>
      <c r="E228" s="7"/>
      <c r="F228" s="7"/>
      <c r="G228" s="7"/>
      <c r="H228" s="7"/>
      <c r="I228" s="7"/>
      <c r="J228" s="7"/>
      <c r="K228" s="9"/>
      <c r="L228" s="10"/>
      <c r="M228" s="10"/>
      <c r="N228" s="10"/>
      <c r="O228" s="10"/>
      <c r="P228" s="11"/>
      <c r="Q228" s="9"/>
      <c r="R228" s="12" t="str">
        <f aca="false">IF(AND(ISNUMBER(K228),ISNUMBER(Q228),K228&gt;0),Q228/K228,"")</f>
        <v/>
      </c>
      <c r="S228" s="11"/>
      <c r="T228" s="9"/>
      <c r="U228" s="10"/>
      <c r="V228" s="11"/>
      <c r="W228" s="11"/>
      <c r="X228" s="11"/>
      <c r="Y228" s="12" t="str">
        <f aca="false">IF(COUNT(V228:X228)=0,"",MAX(0,1-SUM(V228:X228)))</f>
        <v/>
      </c>
      <c r="Z228" s="13"/>
      <c r="AA228" s="9"/>
      <c r="AB228" s="7"/>
      <c r="AC228" s="7"/>
      <c r="AD228" s="7"/>
      <c r="AE228" s="7"/>
      <c r="AF228" s="14" t="str">
        <f aca="false">IF(D228="","",COUNTIF($D$2:D228,D228))</f>
        <v/>
      </c>
      <c r="AG228" s="15" t="str">
        <f aca="false" t="array" ref="AG228:AG228">IF(D228="","",IFERROR(MEDIAN(IF(($D$2:$D$401=D228)*($AF$2:$AF$401&gt;=AF228-5)*($AF$2:$AF$401&lt;=AF228-1)*($M$2:$M$401&lt;&gt;""),$M$2:$M$401)),""))</f>
        <v/>
      </c>
      <c r="AH228" s="16" t="str">
        <f aca="false">IF(AND(ISNUMBER(M228),ISNUMBER(AG228)),IF(AG228&gt;0,M228/AG228,""),"")</f>
        <v/>
      </c>
      <c r="AI228" s="15" t="str">
        <f aca="false" t="array" ref="AI228:AI228">IF(D228="","",IFERROR(MEDIAN(IF(($D$2:$D$401=D228)*($AF$2:$AF$401&gt;=AF228-5)*($AF$2:$AF$401&lt;=AF228-1)*($N$2:$N$401&lt;&gt;""),$N$2:$N$401)),""))</f>
        <v/>
      </c>
      <c r="AJ228" s="16" t="str">
        <f aca="false">IF(AND(ISNUMBER(N228),ISNUMBER(AI228)),IF(AI228&gt;0,N228/AI228,""),"")</f>
        <v/>
      </c>
      <c r="AK228" s="12" t="str">
        <f aca="false" t="array" ref="AK228:AK228">IF(D228="","",IFERROR(MEDIAN(IF(($D$2:$D$401=D228)*ISNUMBER($R$2:$R$401),$R$2:$R$401)),""))</f>
        <v/>
      </c>
      <c r="AL228" s="17" t="str">
        <f aca="false">IF(ISNUMBER(AJ228),IF(AND(AJ228&gt;=Resumen!$C$5,OR(NOT(ISNUMBER(R228)),NOT(ISNUMBER(AK228)),R228&gt;=AK228)),"Ganador",IF(AJ228&lt;=Resumen!$C$6,"Perdedor","Normal")),IF(ISNUMBER(AH228),IF(AH228&gt;=Resumen!$C$5,"Ganador (7 d, provisional)",IF(AH228&lt;=Resumen!$C$6,"Perdedor (7 d, provisional)","Normal (7 d, provisional)")),""))</f>
        <v/>
      </c>
      <c r="AM228" s="18" t="str">
        <f aca="false">IF(AND(ISNUMBER(Z228),ISNUMBER(N228)),IF(N228&gt;0,Z228/N228*1000,""),"")</f>
        <v/>
      </c>
      <c r="AN228" s="19" t="str">
        <f aca="false">IF(AND(ISNUMBER(U228),ISNUMBER(N228)),IF(N228&gt;0,U228/N228*1000,""),"")</f>
        <v/>
      </c>
    </row>
    <row r="229" customFormat="false" ht="15" hidden="false" customHeight="false" outlineLevel="0" collapsed="false">
      <c r="A229" s="7"/>
      <c r="B229" s="7"/>
      <c r="C229" s="8"/>
      <c r="D229" s="7"/>
      <c r="E229" s="7"/>
      <c r="F229" s="7"/>
      <c r="G229" s="7"/>
      <c r="H229" s="7"/>
      <c r="I229" s="7"/>
      <c r="J229" s="7"/>
      <c r="K229" s="9"/>
      <c r="L229" s="10"/>
      <c r="M229" s="10"/>
      <c r="N229" s="10"/>
      <c r="O229" s="10"/>
      <c r="P229" s="11"/>
      <c r="Q229" s="9"/>
      <c r="R229" s="12" t="str">
        <f aca="false">IF(AND(ISNUMBER(K229),ISNUMBER(Q229),K229&gt;0),Q229/K229,"")</f>
        <v/>
      </c>
      <c r="S229" s="11"/>
      <c r="T229" s="9"/>
      <c r="U229" s="10"/>
      <c r="V229" s="11"/>
      <c r="W229" s="11"/>
      <c r="X229" s="11"/>
      <c r="Y229" s="12" t="str">
        <f aca="false">IF(COUNT(V229:X229)=0,"",MAX(0,1-SUM(V229:X229)))</f>
        <v/>
      </c>
      <c r="Z229" s="13"/>
      <c r="AA229" s="9"/>
      <c r="AB229" s="7"/>
      <c r="AC229" s="7"/>
      <c r="AD229" s="7"/>
      <c r="AE229" s="7"/>
      <c r="AF229" s="14" t="str">
        <f aca="false">IF(D229="","",COUNTIF($D$2:D229,D229))</f>
        <v/>
      </c>
      <c r="AG229" s="15" t="str">
        <f aca="false" t="array" ref="AG229:AG229">IF(D229="","",IFERROR(MEDIAN(IF(($D$2:$D$401=D229)*($AF$2:$AF$401&gt;=AF229-5)*($AF$2:$AF$401&lt;=AF229-1)*($M$2:$M$401&lt;&gt;""),$M$2:$M$401)),""))</f>
        <v/>
      </c>
      <c r="AH229" s="16" t="str">
        <f aca="false">IF(AND(ISNUMBER(M229),ISNUMBER(AG229)),IF(AG229&gt;0,M229/AG229,""),"")</f>
        <v/>
      </c>
      <c r="AI229" s="15" t="str">
        <f aca="false" t="array" ref="AI229:AI229">IF(D229="","",IFERROR(MEDIAN(IF(($D$2:$D$401=D229)*($AF$2:$AF$401&gt;=AF229-5)*($AF$2:$AF$401&lt;=AF229-1)*($N$2:$N$401&lt;&gt;""),$N$2:$N$401)),""))</f>
        <v/>
      </c>
      <c r="AJ229" s="16" t="str">
        <f aca="false">IF(AND(ISNUMBER(N229),ISNUMBER(AI229)),IF(AI229&gt;0,N229/AI229,""),"")</f>
        <v/>
      </c>
      <c r="AK229" s="12" t="str">
        <f aca="false" t="array" ref="AK229:AK229">IF(D229="","",IFERROR(MEDIAN(IF(($D$2:$D$401=D229)*ISNUMBER($R$2:$R$401),$R$2:$R$401)),""))</f>
        <v/>
      </c>
      <c r="AL229" s="17" t="str">
        <f aca="false">IF(ISNUMBER(AJ229),IF(AND(AJ229&gt;=Resumen!$C$5,OR(NOT(ISNUMBER(R229)),NOT(ISNUMBER(AK229)),R229&gt;=AK229)),"Ganador",IF(AJ229&lt;=Resumen!$C$6,"Perdedor","Normal")),IF(ISNUMBER(AH229),IF(AH229&gt;=Resumen!$C$5,"Ganador (7 d, provisional)",IF(AH229&lt;=Resumen!$C$6,"Perdedor (7 d, provisional)","Normal (7 d, provisional)")),""))</f>
        <v/>
      </c>
      <c r="AM229" s="18" t="str">
        <f aca="false">IF(AND(ISNUMBER(Z229),ISNUMBER(N229)),IF(N229&gt;0,Z229/N229*1000,""),"")</f>
        <v/>
      </c>
      <c r="AN229" s="19" t="str">
        <f aca="false">IF(AND(ISNUMBER(U229),ISNUMBER(N229)),IF(N229&gt;0,U229/N229*1000,""),"")</f>
        <v/>
      </c>
    </row>
    <row r="230" customFormat="false" ht="15" hidden="false" customHeight="false" outlineLevel="0" collapsed="false">
      <c r="A230" s="7"/>
      <c r="B230" s="7"/>
      <c r="C230" s="8"/>
      <c r="D230" s="7"/>
      <c r="E230" s="7"/>
      <c r="F230" s="7"/>
      <c r="G230" s="7"/>
      <c r="H230" s="7"/>
      <c r="I230" s="7"/>
      <c r="J230" s="7"/>
      <c r="K230" s="9"/>
      <c r="L230" s="10"/>
      <c r="M230" s="10"/>
      <c r="N230" s="10"/>
      <c r="O230" s="10"/>
      <c r="P230" s="11"/>
      <c r="Q230" s="9"/>
      <c r="R230" s="12" t="str">
        <f aca="false">IF(AND(ISNUMBER(K230),ISNUMBER(Q230),K230&gt;0),Q230/K230,"")</f>
        <v/>
      </c>
      <c r="S230" s="11"/>
      <c r="T230" s="9"/>
      <c r="U230" s="10"/>
      <c r="V230" s="11"/>
      <c r="W230" s="11"/>
      <c r="X230" s="11"/>
      <c r="Y230" s="12" t="str">
        <f aca="false">IF(COUNT(V230:X230)=0,"",MAX(0,1-SUM(V230:X230)))</f>
        <v/>
      </c>
      <c r="Z230" s="13"/>
      <c r="AA230" s="9"/>
      <c r="AB230" s="7"/>
      <c r="AC230" s="7"/>
      <c r="AD230" s="7"/>
      <c r="AE230" s="7"/>
      <c r="AF230" s="14" t="str">
        <f aca="false">IF(D230="","",COUNTIF($D$2:D230,D230))</f>
        <v/>
      </c>
      <c r="AG230" s="15" t="str">
        <f aca="false" t="array" ref="AG230:AG230">IF(D230="","",IFERROR(MEDIAN(IF(($D$2:$D$401=D230)*($AF$2:$AF$401&gt;=AF230-5)*($AF$2:$AF$401&lt;=AF230-1)*($M$2:$M$401&lt;&gt;""),$M$2:$M$401)),""))</f>
        <v/>
      </c>
      <c r="AH230" s="16" t="str">
        <f aca="false">IF(AND(ISNUMBER(M230),ISNUMBER(AG230)),IF(AG230&gt;0,M230/AG230,""),"")</f>
        <v/>
      </c>
      <c r="AI230" s="15" t="str">
        <f aca="false" t="array" ref="AI230:AI230">IF(D230="","",IFERROR(MEDIAN(IF(($D$2:$D$401=D230)*($AF$2:$AF$401&gt;=AF230-5)*($AF$2:$AF$401&lt;=AF230-1)*($N$2:$N$401&lt;&gt;""),$N$2:$N$401)),""))</f>
        <v/>
      </c>
      <c r="AJ230" s="16" t="str">
        <f aca="false">IF(AND(ISNUMBER(N230),ISNUMBER(AI230)),IF(AI230&gt;0,N230/AI230,""),"")</f>
        <v/>
      </c>
      <c r="AK230" s="12" t="str">
        <f aca="false" t="array" ref="AK230:AK230">IF(D230="","",IFERROR(MEDIAN(IF(($D$2:$D$401=D230)*ISNUMBER($R$2:$R$401),$R$2:$R$401)),""))</f>
        <v/>
      </c>
      <c r="AL230" s="17" t="str">
        <f aca="false">IF(ISNUMBER(AJ230),IF(AND(AJ230&gt;=Resumen!$C$5,OR(NOT(ISNUMBER(R230)),NOT(ISNUMBER(AK230)),R230&gt;=AK230)),"Ganador",IF(AJ230&lt;=Resumen!$C$6,"Perdedor","Normal")),IF(ISNUMBER(AH230),IF(AH230&gt;=Resumen!$C$5,"Ganador (7 d, provisional)",IF(AH230&lt;=Resumen!$C$6,"Perdedor (7 d, provisional)","Normal (7 d, provisional)")),""))</f>
        <v/>
      </c>
      <c r="AM230" s="18" t="str">
        <f aca="false">IF(AND(ISNUMBER(Z230),ISNUMBER(N230)),IF(N230&gt;0,Z230/N230*1000,""),"")</f>
        <v/>
      </c>
      <c r="AN230" s="19" t="str">
        <f aca="false">IF(AND(ISNUMBER(U230),ISNUMBER(N230)),IF(N230&gt;0,U230/N230*1000,""),"")</f>
        <v/>
      </c>
    </row>
    <row r="231" customFormat="false" ht="15" hidden="false" customHeight="false" outlineLevel="0" collapsed="false">
      <c r="A231" s="7"/>
      <c r="B231" s="7"/>
      <c r="C231" s="8"/>
      <c r="D231" s="7"/>
      <c r="E231" s="7"/>
      <c r="F231" s="7"/>
      <c r="G231" s="7"/>
      <c r="H231" s="7"/>
      <c r="I231" s="7"/>
      <c r="J231" s="7"/>
      <c r="K231" s="9"/>
      <c r="L231" s="10"/>
      <c r="M231" s="10"/>
      <c r="N231" s="10"/>
      <c r="O231" s="10"/>
      <c r="P231" s="11"/>
      <c r="Q231" s="9"/>
      <c r="R231" s="12" t="str">
        <f aca="false">IF(AND(ISNUMBER(K231),ISNUMBER(Q231),K231&gt;0),Q231/K231,"")</f>
        <v/>
      </c>
      <c r="S231" s="11"/>
      <c r="T231" s="9"/>
      <c r="U231" s="10"/>
      <c r="V231" s="11"/>
      <c r="W231" s="11"/>
      <c r="X231" s="11"/>
      <c r="Y231" s="12" t="str">
        <f aca="false">IF(COUNT(V231:X231)=0,"",MAX(0,1-SUM(V231:X231)))</f>
        <v/>
      </c>
      <c r="Z231" s="13"/>
      <c r="AA231" s="9"/>
      <c r="AB231" s="7"/>
      <c r="AC231" s="7"/>
      <c r="AD231" s="7"/>
      <c r="AE231" s="7"/>
      <c r="AF231" s="14" t="str">
        <f aca="false">IF(D231="","",COUNTIF($D$2:D231,D231))</f>
        <v/>
      </c>
      <c r="AG231" s="15" t="str">
        <f aca="false" t="array" ref="AG231:AG231">IF(D231="","",IFERROR(MEDIAN(IF(($D$2:$D$401=D231)*($AF$2:$AF$401&gt;=AF231-5)*($AF$2:$AF$401&lt;=AF231-1)*($M$2:$M$401&lt;&gt;""),$M$2:$M$401)),""))</f>
        <v/>
      </c>
      <c r="AH231" s="16" t="str">
        <f aca="false">IF(AND(ISNUMBER(M231),ISNUMBER(AG231)),IF(AG231&gt;0,M231/AG231,""),"")</f>
        <v/>
      </c>
      <c r="AI231" s="15" t="str">
        <f aca="false" t="array" ref="AI231:AI231">IF(D231="","",IFERROR(MEDIAN(IF(($D$2:$D$401=D231)*($AF$2:$AF$401&gt;=AF231-5)*($AF$2:$AF$401&lt;=AF231-1)*($N$2:$N$401&lt;&gt;""),$N$2:$N$401)),""))</f>
        <v/>
      </c>
      <c r="AJ231" s="16" t="str">
        <f aca="false">IF(AND(ISNUMBER(N231),ISNUMBER(AI231)),IF(AI231&gt;0,N231/AI231,""),"")</f>
        <v/>
      </c>
      <c r="AK231" s="12" t="str">
        <f aca="false" t="array" ref="AK231:AK231">IF(D231="","",IFERROR(MEDIAN(IF(($D$2:$D$401=D231)*ISNUMBER($R$2:$R$401),$R$2:$R$401)),""))</f>
        <v/>
      </c>
      <c r="AL231" s="17" t="str">
        <f aca="false">IF(ISNUMBER(AJ231),IF(AND(AJ231&gt;=Resumen!$C$5,OR(NOT(ISNUMBER(R231)),NOT(ISNUMBER(AK231)),R231&gt;=AK231)),"Ganador",IF(AJ231&lt;=Resumen!$C$6,"Perdedor","Normal")),IF(ISNUMBER(AH231),IF(AH231&gt;=Resumen!$C$5,"Ganador (7 d, provisional)",IF(AH231&lt;=Resumen!$C$6,"Perdedor (7 d, provisional)","Normal (7 d, provisional)")),""))</f>
        <v/>
      </c>
      <c r="AM231" s="18" t="str">
        <f aca="false">IF(AND(ISNUMBER(Z231),ISNUMBER(N231)),IF(N231&gt;0,Z231/N231*1000,""),"")</f>
        <v/>
      </c>
      <c r="AN231" s="19" t="str">
        <f aca="false">IF(AND(ISNUMBER(U231),ISNUMBER(N231)),IF(N231&gt;0,U231/N231*1000,""),"")</f>
        <v/>
      </c>
    </row>
    <row r="232" customFormat="false" ht="15" hidden="false" customHeight="false" outlineLevel="0" collapsed="false">
      <c r="A232" s="7"/>
      <c r="B232" s="7"/>
      <c r="C232" s="8"/>
      <c r="D232" s="7"/>
      <c r="E232" s="7"/>
      <c r="F232" s="7"/>
      <c r="G232" s="7"/>
      <c r="H232" s="7"/>
      <c r="I232" s="7"/>
      <c r="J232" s="7"/>
      <c r="K232" s="9"/>
      <c r="L232" s="10"/>
      <c r="M232" s="10"/>
      <c r="N232" s="10"/>
      <c r="O232" s="10"/>
      <c r="P232" s="11"/>
      <c r="Q232" s="9"/>
      <c r="R232" s="12" t="str">
        <f aca="false">IF(AND(ISNUMBER(K232),ISNUMBER(Q232),K232&gt;0),Q232/K232,"")</f>
        <v/>
      </c>
      <c r="S232" s="11"/>
      <c r="T232" s="9"/>
      <c r="U232" s="10"/>
      <c r="V232" s="11"/>
      <c r="W232" s="11"/>
      <c r="X232" s="11"/>
      <c r="Y232" s="12" t="str">
        <f aca="false">IF(COUNT(V232:X232)=0,"",MAX(0,1-SUM(V232:X232)))</f>
        <v/>
      </c>
      <c r="Z232" s="13"/>
      <c r="AA232" s="9"/>
      <c r="AB232" s="7"/>
      <c r="AC232" s="7"/>
      <c r="AD232" s="7"/>
      <c r="AE232" s="7"/>
      <c r="AF232" s="14" t="str">
        <f aca="false">IF(D232="","",COUNTIF($D$2:D232,D232))</f>
        <v/>
      </c>
      <c r="AG232" s="15" t="str">
        <f aca="false" t="array" ref="AG232:AG232">IF(D232="","",IFERROR(MEDIAN(IF(($D$2:$D$401=D232)*($AF$2:$AF$401&gt;=AF232-5)*($AF$2:$AF$401&lt;=AF232-1)*($M$2:$M$401&lt;&gt;""),$M$2:$M$401)),""))</f>
        <v/>
      </c>
      <c r="AH232" s="16" t="str">
        <f aca="false">IF(AND(ISNUMBER(M232),ISNUMBER(AG232)),IF(AG232&gt;0,M232/AG232,""),"")</f>
        <v/>
      </c>
      <c r="AI232" s="15" t="str">
        <f aca="false" t="array" ref="AI232:AI232">IF(D232="","",IFERROR(MEDIAN(IF(($D$2:$D$401=D232)*($AF$2:$AF$401&gt;=AF232-5)*($AF$2:$AF$401&lt;=AF232-1)*($N$2:$N$401&lt;&gt;""),$N$2:$N$401)),""))</f>
        <v/>
      </c>
      <c r="AJ232" s="16" t="str">
        <f aca="false">IF(AND(ISNUMBER(N232),ISNUMBER(AI232)),IF(AI232&gt;0,N232/AI232,""),"")</f>
        <v/>
      </c>
      <c r="AK232" s="12" t="str">
        <f aca="false" t="array" ref="AK232:AK232">IF(D232="","",IFERROR(MEDIAN(IF(($D$2:$D$401=D232)*ISNUMBER($R$2:$R$401),$R$2:$R$401)),""))</f>
        <v/>
      </c>
      <c r="AL232" s="17" t="str">
        <f aca="false">IF(ISNUMBER(AJ232),IF(AND(AJ232&gt;=Resumen!$C$5,OR(NOT(ISNUMBER(R232)),NOT(ISNUMBER(AK232)),R232&gt;=AK232)),"Ganador",IF(AJ232&lt;=Resumen!$C$6,"Perdedor","Normal")),IF(ISNUMBER(AH232),IF(AH232&gt;=Resumen!$C$5,"Ganador (7 d, provisional)",IF(AH232&lt;=Resumen!$C$6,"Perdedor (7 d, provisional)","Normal (7 d, provisional)")),""))</f>
        <v/>
      </c>
      <c r="AM232" s="18" t="str">
        <f aca="false">IF(AND(ISNUMBER(Z232),ISNUMBER(N232)),IF(N232&gt;0,Z232/N232*1000,""),"")</f>
        <v/>
      </c>
      <c r="AN232" s="19" t="str">
        <f aca="false">IF(AND(ISNUMBER(U232),ISNUMBER(N232)),IF(N232&gt;0,U232/N232*1000,""),"")</f>
        <v/>
      </c>
    </row>
    <row r="233" customFormat="false" ht="15" hidden="false" customHeight="false" outlineLevel="0" collapsed="false">
      <c r="A233" s="7"/>
      <c r="B233" s="7"/>
      <c r="C233" s="8"/>
      <c r="D233" s="7"/>
      <c r="E233" s="7"/>
      <c r="F233" s="7"/>
      <c r="G233" s="7"/>
      <c r="H233" s="7"/>
      <c r="I233" s="7"/>
      <c r="J233" s="7"/>
      <c r="K233" s="9"/>
      <c r="L233" s="10"/>
      <c r="M233" s="10"/>
      <c r="N233" s="10"/>
      <c r="O233" s="10"/>
      <c r="P233" s="11"/>
      <c r="Q233" s="9"/>
      <c r="R233" s="12" t="str">
        <f aca="false">IF(AND(ISNUMBER(K233),ISNUMBER(Q233),K233&gt;0),Q233/K233,"")</f>
        <v/>
      </c>
      <c r="S233" s="11"/>
      <c r="T233" s="9"/>
      <c r="U233" s="10"/>
      <c r="V233" s="11"/>
      <c r="W233" s="11"/>
      <c r="X233" s="11"/>
      <c r="Y233" s="12" t="str">
        <f aca="false">IF(COUNT(V233:X233)=0,"",MAX(0,1-SUM(V233:X233)))</f>
        <v/>
      </c>
      <c r="Z233" s="13"/>
      <c r="AA233" s="9"/>
      <c r="AB233" s="7"/>
      <c r="AC233" s="7"/>
      <c r="AD233" s="7"/>
      <c r="AE233" s="7"/>
      <c r="AF233" s="14" t="str">
        <f aca="false">IF(D233="","",COUNTIF($D$2:D233,D233))</f>
        <v/>
      </c>
      <c r="AG233" s="15" t="str">
        <f aca="false" t="array" ref="AG233:AG233">IF(D233="","",IFERROR(MEDIAN(IF(($D$2:$D$401=D233)*($AF$2:$AF$401&gt;=AF233-5)*($AF$2:$AF$401&lt;=AF233-1)*($M$2:$M$401&lt;&gt;""),$M$2:$M$401)),""))</f>
        <v/>
      </c>
      <c r="AH233" s="16" t="str">
        <f aca="false">IF(AND(ISNUMBER(M233),ISNUMBER(AG233)),IF(AG233&gt;0,M233/AG233,""),"")</f>
        <v/>
      </c>
      <c r="AI233" s="15" t="str">
        <f aca="false" t="array" ref="AI233:AI233">IF(D233="","",IFERROR(MEDIAN(IF(($D$2:$D$401=D233)*($AF$2:$AF$401&gt;=AF233-5)*($AF$2:$AF$401&lt;=AF233-1)*($N$2:$N$401&lt;&gt;""),$N$2:$N$401)),""))</f>
        <v/>
      </c>
      <c r="AJ233" s="16" t="str">
        <f aca="false">IF(AND(ISNUMBER(N233),ISNUMBER(AI233)),IF(AI233&gt;0,N233/AI233,""),"")</f>
        <v/>
      </c>
      <c r="AK233" s="12" t="str">
        <f aca="false" t="array" ref="AK233:AK233">IF(D233="","",IFERROR(MEDIAN(IF(($D$2:$D$401=D233)*ISNUMBER($R$2:$R$401),$R$2:$R$401)),""))</f>
        <v/>
      </c>
      <c r="AL233" s="17" t="str">
        <f aca="false">IF(ISNUMBER(AJ233),IF(AND(AJ233&gt;=Resumen!$C$5,OR(NOT(ISNUMBER(R233)),NOT(ISNUMBER(AK233)),R233&gt;=AK233)),"Ganador",IF(AJ233&lt;=Resumen!$C$6,"Perdedor","Normal")),IF(ISNUMBER(AH233),IF(AH233&gt;=Resumen!$C$5,"Ganador (7 d, provisional)",IF(AH233&lt;=Resumen!$C$6,"Perdedor (7 d, provisional)","Normal (7 d, provisional)")),""))</f>
        <v/>
      </c>
      <c r="AM233" s="18" t="str">
        <f aca="false">IF(AND(ISNUMBER(Z233),ISNUMBER(N233)),IF(N233&gt;0,Z233/N233*1000,""),"")</f>
        <v/>
      </c>
      <c r="AN233" s="19" t="str">
        <f aca="false">IF(AND(ISNUMBER(U233),ISNUMBER(N233)),IF(N233&gt;0,U233/N233*1000,""),"")</f>
        <v/>
      </c>
    </row>
    <row r="234" customFormat="false" ht="15" hidden="false" customHeight="false" outlineLevel="0" collapsed="false">
      <c r="A234" s="7"/>
      <c r="B234" s="7"/>
      <c r="C234" s="8"/>
      <c r="D234" s="7"/>
      <c r="E234" s="7"/>
      <c r="F234" s="7"/>
      <c r="G234" s="7"/>
      <c r="H234" s="7"/>
      <c r="I234" s="7"/>
      <c r="J234" s="7"/>
      <c r="K234" s="9"/>
      <c r="L234" s="10"/>
      <c r="M234" s="10"/>
      <c r="N234" s="10"/>
      <c r="O234" s="10"/>
      <c r="P234" s="11"/>
      <c r="Q234" s="9"/>
      <c r="R234" s="12" t="str">
        <f aca="false">IF(AND(ISNUMBER(K234),ISNUMBER(Q234),K234&gt;0),Q234/K234,"")</f>
        <v/>
      </c>
      <c r="S234" s="11"/>
      <c r="T234" s="9"/>
      <c r="U234" s="10"/>
      <c r="V234" s="11"/>
      <c r="W234" s="11"/>
      <c r="X234" s="11"/>
      <c r="Y234" s="12" t="str">
        <f aca="false">IF(COUNT(V234:X234)=0,"",MAX(0,1-SUM(V234:X234)))</f>
        <v/>
      </c>
      <c r="Z234" s="13"/>
      <c r="AA234" s="9"/>
      <c r="AB234" s="7"/>
      <c r="AC234" s="7"/>
      <c r="AD234" s="7"/>
      <c r="AE234" s="7"/>
      <c r="AF234" s="14" t="str">
        <f aca="false">IF(D234="","",COUNTIF($D$2:D234,D234))</f>
        <v/>
      </c>
      <c r="AG234" s="15" t="str">
        <f aca="false" t="array" ref="AG234:AG234">IF(D234="","",IFERROR(MEDIAN(IF(($D$2:$D$401=D234)*($AF$2:$AF$401&gt;=AF234-5)*($AF$2:$AF$401&lt;=AF234-1)*($M$2:$M$401&lt;&gt;""),$M$2:$M$401)),""))</f>
        <v/>
      </c>
      <c r="AH234" s="16" t="str">
        <f aca="false">IF(AND(ISNUMBER(M234),ISNUMBER(AG234)),IF(AG234&gt;0,M234/AG234,""),"")</f>
        <v/>
      </c>
      <c r="AI234" s="15" t="str">
        <f aca="false" t="array" ref="AI234:AI234">IF(D234="","",IFERROR(MEDIAN(IF(($D$2:$D$401=D234)*($AF$2:$AF$401&gt;=AF234-5)*($AF$2:$AF$401&lt;=AF234-1)*($N$2:$N$401&lt;&gt;""),$N$2:$N$401)),""))</f>
        <v/>
      </c>
      <c r="AJ234" s="16" t="str">
        <f aca="false">IF(AND(ISNUMBER(N234),ISNUMBER(AI234)),IF(AI234&gt;0,N234/AI234,""),"")</f>
        <v/>
      </c>
      <c r="AK234" s="12" t="str">
        <f aca="false" t="array" ref="AK234:AK234">IF(D234="","",IFERROR(MEDIAN(IF(($D$2:$D$401=D234)*ISNUMBER($R$2:$R$401),$R$2:$R$401)),""))</f>
        <v/>
      </c>
      <c r="AL234" s="17" t="str">
        <f aca="false">IF(ISNUMBER(AJ234),IF(AND(AJ234&gt;=Resumen!$C$5,OR(NOT(ISNUMBER(R234)),NOT(ISNUMBER(AK234)),R234&gt;=AK234)),"Ganador",IF(AJ234&lt;=Resumen!$C$6,"Perdedor","Normal")),IF(ISNUMBER(AH234),IF(AH234&gt;=Resumen!$C$5,"Ganador (7 d, provisional)",IF(AH234&lt;=Resumen!$C$6,"Perdedor (7 d, provisional)","Normal (7 d, provisional)")),""))</f>
        <v/>
      </c>
      <c r="AM234" s="18" t="str">
        <f aca="false">IF(AND(ISNUMBER(Z234),ISNUMBER(N234)),IF(N234&gt;0,Z234/N234*1000,""),"")</f>
        <v/>
      </c>
      <c r="AN234" s="19" t="str">
        <f aca="false">IF(AND(ISNUMBER(U234),ISNUMBER(N234)),IF(N234&gt;0,U234/N234*1000,""),"")</f>
        <v/>
      </c>
    </row>
    <row r="235" customFormat="false" ht="15" hidden="false" customHeight="false" outlineLevel="0" collapsed="false">
      <c r="A235" s="7"/>
      <c r="B235" s="7"/>
      <c r="C235" s="8"/>
      <c r="D235" s="7"/>
      <c r="E235" s="7"/>
      <c r="F235" s="7"/>
      <c r="G235" s="7"/>
      <c r="H235" s="7"/>
      <c r="I235" s="7"/>
      <c r="J235" s="7"/>
      <c r="K235" s="9"/>
      <c r="L235" s="10"/>
      <c r="M235" s="10"/>
      <c r="N235" s="10"/>
      <c r="O235" s="10"/>
      <c r="P235" s="11"/>
      <c r="Q235" s="9"/>
      <c r="R235" s="12" t="str">
        <f aca="false">IF(AND(ISNUMBER(K235),ISNUMBER(Q235),K235&gt;0),Q235/K235,"")</f>
        <v/>
      </c>
      <c r="S235" s="11"/>
      <c r="T235" s="9"/>
      <c r="U235" s="10"/>
      <c r="V235" s="11"/>
      <c r="W235" s="11"/>
      <c r="X235" s="11"/>
      <c r="Y235" s="12" t="str">
        <f aca="false">IF(COUNT(V235:X235)=0,"",MAX(0,1-SUM(V235:X235)))</f>
        <v/>
      </c>
      <c r="Z235" s="13"/>
      <c r="AA235" s="9"/>
      <c r="AB235" s="7"/>
      <c r="AC235" s="7"/>
      <c r="AD235" s="7"/>
      <c r="AE235" s="7"/>
      <c r="AF235" s="14" t="str">
        <f aca="false">IF(D235="","",COUNTIF($D$2:D235,D235))</f>
        <v/>
      </c>
      <c r="AG235" s="15" t="str">
        <f aca="false" t="array" ref="AG235:AG235">IF(D235="","",IFERROR(MEDIAN(IF(($D$2:$D$401=D235)*($AF$2:$AF$401&gt;=AF235-5)*($AF$2:$AF$401&lt;=AF235-1)*($M$2:$M$401&lt;&gt;""),$M$2:$M$401)),""))</f>
        <v/>
      </c>
      <c r="AH235" s="16" t="str">
        <f aca="false">IF(AND(ISNUMBER(M235),ISNUMBER(AG235)),IF(AG235&gt;0,M235/AG235,""),"")</f>
        <v/>
      </c>
      <c r="AI235" s="15" t="str">
        <f aca="false" t="array" ref="AI235:AI235">IF(D235="","",IFERROR(MEDIAN(IF(($D$2:$D$401=D235)*($AF$2:$AF$401&gt;=AF235-5)*($AF$2:$AF$401&lt;=AF235-1)*($N$2:$N$401&lt;&gt;""),$N$2:$N$401)),""))</f>
        <v/>
      </c>
      <c r="AJ235" s="16" t="str">
        <f aca="false">IF(AND(ISNUMBER(N235),ISNUMBER(AI235)),IF(AI235&gt;0,N235/AI235,""),"")</f>
        <v/>
      </c>
      <c r="AK235" s="12" t="str">
        <f aca="false" t="array" ref="AK235:AK235">IF(D235="","",IFERROR(MEDIAN(IF(($D$2:$D$401=D235)*ISNUMBER($R$2:$R$401),$R$2:$R$401)),""))</f>
        <v/>
      </c>
      <c r="AL235" s="17" t="str">
        <f aca="false">IF(ISNUMBER(AJ235),IF(AND(AJ235&gt;=Resumen!$C$5,OR(NOT(ISNUMBER(R235)),NOT(ISNUMBER(AK235)),R235&gt;=AK235)),"Ganador",IF(AJ235&lt;=Resumen!$C$6,"Perdedor","Normal")),IF(ISNUMBER(AH235),IF(AH235&gt;=Resumen!$C$5,"Ganador (7 d, provisional)",IF(AH235&lt;=Resumen!$C$6,"Perdedor (7 d, provisional)","Normal (7 d, provisional)")),""))</f>
        <v/>
      </c>
      <c r="AM235" s="18" t="str">
        <f aca="false">IF(AND(ISNUMBER(Z235),ISNUMBER(N235)),IF(N235&gt;0,Z235/N235*1000,""),"")</f>
        <v/>
      </c>
      <c r="AN235" s="19" t="str">
        <f aca="false">IF(AND(ISNUMBER(U235),ISNUMBER(N235)),IF(N235&gt;0,U235/N235*1000,""),"")</f>
        <v/>
      </c>
    </row>
    <row r="236" customFormat="false" ht="15" hidden="false" customHeight="false" outlineLevel="0" collapsed="false">
      <c r="A236" s="7"/>
      <c r="B236" s="7"/>
      <c r="C236" s="8"/>
      <c r="D236" s="7"/>
      <c r="E236" s="7"/>
      <c r="F236" s="7"/>
      <c r="G236" s="7"/>
      <c r="H236" s="7"/>
      <c r="I236" s="7"/>
      <c r="J236" s="7"/>
      <c r="K236" s="9"/>
      <c r="L236" s="10"/>
      <c r="M236" s="10"/>
      <c r="N236" s="10"/>
      <c r="O236" s="10"/>
      <c r="P236" s="11"/>
      <c r="Q236" s="9"/>
      <c r="R236" s="12" t="str">
        <f aca="false">IF(AND(ISNUMBER(K236),ISNUMBER(Q236),K236&gt;0),Q236/K236,"")</f>
        <v/>
      </c>
      <c r="S236" s="11"/>
      <c r="T236" s="9"/>
      <c r="U236" s="10"/>
      <c r="V236" s="11"/>
      <c r="W236" s="11"/>
      <c r="X236" s="11"/>
      <c r="Y236" s="12" t="str">
        <f aca="false">IF(COUNT(V236:X236)=0,"",MAX(0,1-SUM(V236:X236)))</f>
        <v/>
      </c>
      <c r="Z236" s="13"/>
      <c r="AA236" s="9"/>
      <c r="AB236" s="7"/>
      <c r="AC236" s="7"/>
      <c r="AD236" s="7"/>
      <c r="AE236" s="7"/>
      <c r="AF236" s="14" t="str">
        <f aca="false">IF(D236="","",COUNTIF($D$2:D236,D236))</f>
        <v/>
      </c>
      <c r="AG236" s="15" t="str">
        <f aca="false" t="array" ref="AG236:AG236">IF(D236="","",IFERROR(MEDIAN(IF(($D$2:$D$401=D236)*($AF$2:$AF$401&gt;=AF236-5)*($AF$2:$AF$401&lt;=AF236-1)*($M$2:$M$401&lt;&gt;""),$M$2:$M$401)),""))</f>
        <v/>
      </c>
      <c r="AH236" s="16" t="str">
        <f aca="false">IF(AND(ISNUMBER(M236),ISNUMBER(AG236)),IF(AG236&gt;0,M236/AG236,""),"")</f>
        <v/>
      </c>
      <c r="AI236" s="15" t="str">
        <f aca="false" t="array" ref="AI236:AI236">IF(D236="","",IFERROR(MEDIAN(IF(($D$2:$D$401=D236)*($AF$2:$AF$401&gt;=AF236-5)*($AF$2:$AF$401&lt;=AF236-1)*($N$2:$N$401&lt;&gt;""),$N$2:$N$401)),""))</f>
        <v/>
      </c>
      <c r="AJ236" s="16" t="str">
        <f aca="false">IF(AND(ISNUMBER(N236),ISNUMBER(AI236)),IF(AI236&gt;0,N236/AI236,""),"")</f>
        <v/>
      </c>
      <c r="AK236" s="12" t="str">
        <f aca="false" t="array" ref="AK236:AK236">IF(D236="","",IFERROR(MEDIAN(IF(($D$2:$D$401=D236)*ISNUMBER($R$2:$R$401),$R$2:$R$401)),""))</f>
        <v/>
      </c>
      <c r="AL236" s="17" t="str">
        <f aca="false">IF(ISNUMBER(AJ236),IF(AND(AJ236&gt;=Resumen!$C$5,OR(NOT(ISNUMBER(R236)),NOT(ISNUMBER(AK236)),R236&gt;=AK236)),"Ganador",IF(AJ236&lt;=Resumen!$C$6,"Perdedor","Normal")),IF(ISNUMBER(AH236),IF(AH236&gt;=Resumen!$C$5,"Ganador (7 d, provisional)",IF(AH236&lt;=Resumen!$C$6,"Perdedor (7 d, provisional)","Normal (7 d, provisional)")),""))</f>
        <v/>
      </c>
      <c r="AM236" s="18" t="str">
        <f aca="false">IF(AND(ISNUMBER(Z236),ISNUMBER(N236)),IF(N236&gt;0,Z236/N236*1000,""),"")</f>
        <v/>
      </c>
      <c r="AN236" s="19" t="str">
        <f aca="false">IF(AND(ISNUMBER(U236),ISNUMBER(N236)),IF(N236&gt;0,U236/N236*1000,""),"")</f>
        <v/>
      </c>
    </row>
    <row r="237" customFormat="false" ht="15" hidden="false" customHeight="false" outlineLevel="0" collapsed="false">
      <c r="A237" s="7"/>
      <c r="B237" s="7"/>
      <c r="C237" s="8"/>
      <c r="D237" s="7"/>
      <c r="E237" s="7"/>
      <c r="F237" s="7"/>
      <c r="G237" s="7"/>
      <c r="H237" s="7"/>
      <c r="I237" s="7"/>
      <c r="J237" s="7"/>
      <c r="K237" s="9"/>
      <c r="L237" s="10"/>
      <c r="M237" s="10"/>
      <c r="N237" s="10"/>
      <c r="O237" s="10"/>
      <c r="P237" s="11"/>
      <c r="Q237" s="9"/>
      <c r="R237" s="12" t="str">
        <f aca="false">IF(AND(ISNUMBER(K237),ISNUMBER(Q237),K237&gt;0),Q237/K237,"")</f>
        <v/>
      </c>
      <c r="S237" s="11"/>
      <c r="T237" s="9"/>
      <c r="U237" s="10"/>
      <c r="V237" s="11"/>
      <c r="W237" s="11"/>
      <c r="X237" s="11"/>
      <c r="Y237" s="12" t="str">
        <f aca="false">IF(COUNT(V237:X237)=0,"",MAX(0,1-SUM(V237:X237)))</f>
        <v/>
      </c>
      <c r="Z237" s="13"/>
      <c r="AA237" s="9"/>
      <c r="AB237" s="7"/>
      <c r="AC237" s="7"/>
      <c r="AD237" s="7"/>
      <c r="AE237" s="7"/>
      <c r="AF237" s="14" t="str">
        <f aca="false">IF(D237="","",COUNTIF($D$2:D237,D237))</f>
        <v/>
      </c>
      <c r="AG237" s="15" t="str">
        <f aca="false" t="array" ref="AG237:AG237">IF(D237="","",IFERROR(MEDIAN(IF(($D$2:$D$401=D237)*($AF$2:$AF$401&gt;=AF237-5)*($AF$2:$AF$401&lt;=AF237-1)*($M$2:$M$401&lt;&gt;""),$M$2:$M$401)),""))</f>
        <v/>
      </c>
      <c r="AH237" s="16" t="str">
        <f aca="false">IF(AND(ISNUMBER(M237),ISNUMBER(AG237)),IF(AG237&gt;0,M237/AG237,""),"")</f>
        <v/>
      </c>
      <c r="AI237" s="15" t="str">
        <f aca="false" t="array" ref="AI237:AI237">IF(D237="","",IFERROR(MEDIAN(IF(($D$2:$D$401=D237)*($AF$2:$AF$401&gt;=AF237-5)*($AF$2:$AF$401&lt;=AF237-1)*($N$2:$N$401&lt;&gt;""),$N$2:$N$401)),""))</f>
        <v/>
      </c>
      <c r="AJ237" s="16" t="str">
        <f aca="false">IF(AND(ISNUMBER(N237),ISNUMBER(AI237)),IF(AI237&gt;0,N237/AI237,""),"")</f>
        <v/>
      </c>
      <c r="AK237" s="12" t="str">
        <f aca="false" t="array" ref="AK237:AK237">IF(D237="","",IFERROR(MEDIAN(IF(($D$2:$D$401=D237)*ISNUMBER($R$2:$R$401),$R$2:$R$401)),""))</f>
        <v/>
      </c>
      <c r="AL237" s="17" t="str">
        <f aca="false">IF(ISNUMBER(AJ237),IF(AND(AJ237&gt;=Resumen!$C$5,OR(NOT(ISNUMBER(R237)),NOT(ISNUMBER(AK237)),R237&gt;=AK237)),"Ganador",IF(AJ237&lt;=Resumen!$C$6,"Perdedor","Normal")),IF(ISNUMBER(AH237),IF(AH237&gt;=Resumen!$C$5,"Ganador (7 d, provisional)",IF(AH237&lt;=Resumen!$C$6,"Perdedor (7 d, provisional)","Normal (7 d, provisional)")),""))</f>
        <v/>
      </c>
      <c r="AM237" s="18" t="str">
        <f aca="false">IF(AND(ISNUMBER(Z237),ISNUMBER(N237)),IF(N237&gt;0,Z237/N237*1000,""),"")</f>
        <v/>
      </c>
      <c r="AN237" s="19" t="str">
        <f aca="false">IF(AND(ISNUMBER(U237),ISNUMBER(N237)),IF(N237&gt;0,U237/N237*1000,""),"")</f>
        <v/>
      </c>
    </row>
    <row r="238" customFormat="false" ht="15" hidden="false" customHeight="false" outlineLevel="0" collapsed="false">
      <c r="A238" s="7"/>
      <c r="B238" s="7"/>
      <c r="C238" s="8"/>
      <c r="D238" s="7"/>
      <c r="E238" s="7"/>
      <c r="F238" s="7"/>
      <c r="G238" s="7"/>
      <c r="H238" s="7"/>
      <c r="I238" s="7"/>
      <c r="J238" s="7"/>
      <c r="K238" s="9"/>
      <c r="L238" s="10"/>
      <c r="M238" s="10"/>
      <c r="N238" s="10"/>
      <c r="O238" s="10"/>
      <c r="P238" s="11"/>
      <c r="Q238" s="9"/>
      <c r="R238" s="12" t="str">
        <f aca="false">IF(AND(ISNUMBER(K238),ISNUMBER(Q238),K238&gt;0),Q238/K238,"")</f>
        <v/>
      </c>
      <c r="S238" s="11"/>
      <c r="T238" s="9"/>
      <c r="U238" s="10"/>
      <c r="V238" s="11"/>
      <c r="W238" s="11"/>
      <c r="X238" s="11"/>
      <c r="Y238" s="12" t="str">
        <f aca="false">IF(COUNT(V238:X238)=0,"",MAX(0,1-SUM(V238:X238)))</f>
        <v/>
      </c>
      <c r="Z238" s="13"/>
      <c r="AA238" s="9"/>
      <c r="AB238" s="7"/>
      <c r="AC238" s="7"/>
      <c r="AD238" s="7"/>
      <c r="AE238" s="7"/>
      <c r="AF238" s="14" t="str">
        <f aca="false">IF(D238="","",COUNTIF($D$2:D238,D238))</f>
        <v/>
      </c>
      <c r="AG238" s="15" t="str">
        <f aca="false" t="array" ref="AG238:AG238">IF(D238="","",IFERROR(MEDIAN(IF(($D$2:$D$401=D238)*($AF$2:$AF$401&gt;=AF238-5)*($AF$2:$AF$401&lt;=AF238-1)*($M$2:$M$401&lt;&gt;""),$M$2:$M$401)),""))</f>
        <v/>
      </c>
      <c r="AH238" s="16" t="str">
        <f aca="false">IF(AND(ISNUMBER(M238),ISNUMBER(AG238)),IF(AG238&gt;0,M238/AG238,""),"")</f>
        <v/>
      </c>
      <c r="AI238" s="15" t="str">
        <f aca="false" t="array" ref="AI238:AI238">IF(D238="","",IFERROR(MEDIAN(IF(($D$2:$D$401=D238)*($AF$2:$AF$401&gt;=AF238-5)*($AF$2:$AF$401&lt;=AF238-1)*($N$2:$N$401&lt;&gt;""),$N$2:$N$401)),""))</f>
        <v/>
      </c>
      <c r="AJ238" s="16" t="str">
        <f aca="false">IF(AND(ISNUMBER(N238),ISNUMBER(AI238)),IF(AI238&gt;0,N238/AI238,""),"")</f>
        <v/>
      </c>
      <c r="AK238" s="12" t="str">
        <f aca="false" t="array" ref="AK238:AK238">IF(D238="","",IFERROR(MEDIAN(IF(($D$2:$D$401=D238)*ISNUMBER($R$2:$R$401),$R$2:$R$401)),""))</f>
        <v/>
      </c>
      <c r="AL238" s="17" t="str">
        <f aca="false">IF(ISNUMBER(AJ238),IF(AND(AJ238&gt;=Resumen!$C$5,OR(NOT(ISNUMBER(R238)),NOT(ISNUMBER(AK238)),R238&gt;=AK238)),"Ganador",IF(AJ238&lt;=Resumen!$C$6,"Perdedor","Normal")),IF(ISNUMBER(AH238),IF(AH238&gt;=Resumen!$C$5,"Ganador (7 d, provisional)",IF(AH238&lt;=Resumen!$C$6,"Perdedor (7 d, provisional)","Normal (7 d, provisional)")),""))</f>
        <v/>
      </c>
      <c r="AM238" s="18" t="str">
        <f aca="false">IF(AND(ISNUMBER(Z238),ISNUMBER(N238)),IF(N238&gt;0,Z238/N238*1000,""),"")</f>
        <v/>
      </c>
      <c r="AN238" s="19" t="str">
        <f aca="false">IF(AND(ISNUMBER(U238),ISNUMBER(N238)),IF(N238&gt;0,U238/N238*1000,""),"")</f>
        <v/>
      </c>
    </row>
    <row r="239" customFormat="false" ht="15" hidden="false" customHeight="false" outlineLevel="0" collapsed="false">
      <c r="A239" s="7"/>
      <c r="B239" s="7"/>
      <c r="C239" s="8"/>
      <c r="D239" s="7"/>
      <c r="E239" s="7"/>
      <c r="F239" s="7"/>
      <c r="G239" s="7"/>
      <c r="H239" s="7"/>
      <c r="I239" s="7"/>
      <c r="J239" s="7"/>
      <c r="K239" s="9"/>
      <c r="L239" s="10"/>
      <c r="M239" s="10"/>
      <c r="N239" s="10"/>
      <c r="O239" s="10"/>
      <c r="P239" s="11"/>
      <c r="Q239" s="9"/>
      <c r="R239" s="12" t="str">
        <f aca="false">IF(AND(ISNUMBER(K239),ISNUMBER(Q239),K239&gt;0),Q239/K239,"")</f>
        <v/>
      </c>
      <c r="S239" s="11"/>
      <c r="T239" s="9"/>
      <c r="U239" s="10"/>
      <c r="V239" s="11"/>
      <c r="W239" s="11"/>
      <c r="X239" s="11"/>
      <c r="Y239" s="12" t="str">
        <f aca="false">IF(COUNT(V239:X239)=0,"",MAX(0,1-SUM(V239:X239)))</f>
        <v/>
      </c>
      <c r="Z239" s="13"/>
      <c r="AA239" s="9"/>
      <c r="AB239" s="7"/>
      <c r="AC239" s="7"/>
      <c r="AD239" s="7"/>
      <c r="AE239" s="7"/>
      <c r="AF239" s="14" t="str">
        <f aca="false">IF(D239="","",COUNTIF($D$2:D239,D239))</f>
        <v/>
      </c>
      <c r="AG239" s="15" t="str">
        <f aca="false" t="array" ref="AG239:AG239">IF(D239="","",IFERROR(MEDIAN(IF(($D$2:$D$401=D239)*($AF$2:$AF$401&gt;=AF239-5)*($AF$2:$AF$401&lt;=AF239-1)*($M$2:$M$401&lt;&gt;""),$M$2:$M$401)),""))</f>
        <v/>
      </c>
      <c r="AH239" s="16" t="str">
        <f aca="false">IF(AND(ISNUMBER(M239),ISNUMBER(AG239)),IF(AG239&gt;0,M239/AG239,""),"")</f>
        <v/>
      </c>
      <c r="AI239" s="15" t="str">
        <f aca="false" t="array" ref="AI239:AI239">IF(D239="","",IFERROR(MEDIAN(IF(($D$2:$D$401=D239)*($AF$2:$AF$401&gt;=AF239-5)*($AF$2:$AF$401&lt;=AF239-1)*($N$2:$N$401&lt;&gt;""),$N$2:$N$401)),""))</f>
        <v/>
      </c>
      <c r="AJ239" s="16" t="str">
        <f aca="false">IF(AND(ISNUMBER(N239),ISNUMBER(AI239)),IF(AI239&gt;0,N239/AI239,""),"")</f>
        <v/>
      </c>
      <c r="AK239" s="12" t="str">
        <f aca="false" t="array" ref="AK239:AK239">IF(D239="","",IFERROR(MEDIAN(IF(($D$2:$D$401=D239)*ISNUMBER($R$2:$R$401),$R$2:$R$401)),""))</f>
        <v/>
      </c>
      <c r="AL239" s="17" t="str">
        <f aca="false">IF(ISNUMBER(AJ239),IF(AND(AJ239&gt;=Resumen!$C$5,OR(NOT(ISNUMBER(R239)),NOT(ISNUMBER(AK239)),R239&gt;=AK239)),"Ganador",IF(AJ239&lt;=Resumen!$C$6,"Perdedor","Normal")),IF(ISNUMBER(AH239),IF(AH239&gt;=Resumen!$C$5,"Ganador (7 d, provisional)",IF(AH239&lt;=Resumen!$C$6,"Perdedor (7 d, provisional)","Normal (7 d, provisional)")),""))</f>
        <v/>
      </c>
      <c r="AM239" s="18" t="str">
        <f aca="false">IF(AND(ISNUMBER(Z239),ISNUMBER(N239)),IF(N239&gt;0,Z239/N239*1000,""),"")</f>
        <v/>
      </c>
      <c r="AN239" s="19" t="str">
        <f aca="false">IF(AND(ISNUMBER(U239),ISNUMBER(N239)),IF(N239&gt;0,U239/N239*1000,""),"")</f>
        <v/>
      </c>
    </row>
    <row r="240" customFormat="false" ht="15" hidden="false" customHeight="false" outlineLevel="0" collapsed="false">
      <c r="A240" s="7"/>
      <c r="B240" s="7"/>
      <c r="C240" s="8"/>
      <c r="D240" s="7"/>
      <c r="E240" s="7"/>
      <c r="F240" s="7"/>
      <c r="G240" s="7"/>
      <c r="H240" s="7"/>
      <c r="I240" s="7"/>
      <c r="J240" s="7"/>
      <c r="K240" s="9"/>
      <c r="L240" s="10"/>
      <c r="M240" s="10"/>
      <c r="N240" s="10"/>
      <c r="O240" s="10"/>
      <c r="P240" s="11"/>
      <c r="Q240" s="9"/>
      <c r="R240" s="12" t="str">
        <f aca="false">IF(AND(ISNUMBER(K240),ISNUMBER(Q240),K240&gt;0),Q240/K240,"")</f>
        <v/>
      </c>
      <c r="S240" s="11"/>
      <c r="T240" s="9"/>
      <c r="U240" s="10"/>
      <c r="V240" s="11"/>
      <c r="W240" s="11"/>
      <c r="X240" s="11"/>
      <c r="Y240" s="12" t="str">
        <f aca="false">IF(COUNT(V240:X240)=0,"",MAX(0,1-SUM(V240:X240)))</f>
        <v/>
      </c>
      <c r="Z240" s="13"/>
      <c r="AA240" s="9"/>
      <c r="AB240" s="7"/>
      <c r="AC240" s="7"/>
      <c r="AD240" s="7"/>
      <c r="AE240" s="7"/>
      <c r="AF240" s="14" t="str">
        <f aca="false">IF(D240="","",COUNTIF($D$2:D240,D240))</f>
        <v/>
      </c>
      <c r="AG240" s="15" t="str">
        <f aca="false" t="array" ref="AG240:AG240">IF(D240="","",IFERROR(MEDIAN(IF(($D$2:$D$401=D240)*($AF$2:$AF$401&gt;=AF240-5)*($AF$2:$AF$401&lt;=AF240-1)*($M$2:$M$401&lt;&gt;""),$M$2:$M$401)),""))</f>
        <v/>
      </c>
      <c r="AH240" s="16" t="str">
        <f aca="false">IF(AND(ISNUMBER(M240),ISNUMBER(AG240)),IF(AG240&gt;0,M240/AG240,""),"")</f>
        <v/>
      </c>
      <c r="AI240" s="15" t="str">
        <f aca="false" t="array" ref="AI240:AI240">IF(D240="","",IFERROR(MEDIAN(IF(($D$2:$D$401=D240)*($AF$2:$AF$401&gt;=AF240-5)*($AF$2:$AF$401&lt;=AF240-1)*($N$2:$N$401&lt;&gt;""),$N$2:$N$401)),""))</f>
        <v/>
      </c>
      <c r="AJ240" s="16" t="str">
        <f aca="false">IF(AND(ISNUMBER(N240),ISNUMBER(AI240)),IF(AI240&gt;0,N240/AI240,""),"")</f>
        <v/>
      </c>
      <c r="AK240" s="12" t="str">
        <f aca="false" t="array" ref="AK240:AK240">IF(D240="","",IFERROR(MEDIAN(IF(($D$2:$D$401=D240)*ISNUMBER($R$2:$R$401),$R$2:$R$401)),""))</f>
        <v/>
      </c>
      <c r="AL240" s="17" t="str">
        <f aca="false">IF(ISNUMBER(AJ240),IF(AND(AJ240&gt;=Resumen!$C$5,OR(NOT(ISNUMBER(R240)),NOT(ISNUMBER(AK240)),R240&gt;=AK240)),"Ganador",IF(AJ240&lt;=Resumen!$C$6,"Perdedor","Normal")),IF(ISNUMBER(AH240),IF(AH240&gt;=Resumen!$C$5,"Ganador (7 d, provisional)",IF(AH240&lt;=Resumen!$C$6,"Perdedor (7 d, provisional)","Normal (7 d, provisional)")),""))</f>
        <v/>
      </c>
      <c r="AM240" s="18" t="str">
        <f aca="false">IF(AND(ISNUMBER(Z240),ISNUMBER(N240)),IF(N240&gt;0,Z240/N240*1000,""),"")</f>
        <v/>
      </c>
      <c r="AN240" s="19" t="str">
        <f aca="false">IF(AND(ISNUMBER(U240),ISNUMBER(N240)),IF(N240&gt;0,U240/N240*1000,""),"")</f>
        <v/>
      </c>
    </row>
    <row r="241" customFormat="false" ht="15" hidden="false" customHeight="false" outlineLevel="0" collapsed="false">
      <c r="A241" s="7"/>
      <c r="B241" s="7"/>
      <c r="C241" s="8"/>
      <c r="D241" s="7"/>
      <c r="E241" s="7"/>
      <c r="F241" s="7"/>
      <c r="G241" s="7"/>
      <c r="H241" s="7"/>
      <c r="I241" s="7"/>
      <c r="J241" s="7"/>
      <c r="K241" s="9"/>
      <c r="L241" s="10"/>
      <c r="M241" s="10"/>
      <c r="N241" s="10"/>
      <c r="O241" s="10"/>
      <c r="P241" s="11"/>
      <c r="Q241" s="9"/>
      <c r="R241" s="12" t="str">
        <f aca="false">IF(AND(ISNUMBER(K241),ISNUMBER(Q241),K241&gt;0),Q241/K241,"")</f>
        <v/>
      </c>
      <c r="S241" s="11"/>
      <c r="T241" s="9"/>
      <c r="U241" s="10"/>
      <c r="V241" s="11"/>
      <c r="W241" s="11"/>
      <c r="X241" s="11"/>
      <c r="Y241" s="12" t="str">
        <f aca="false">IF(COUNT(V241:X241)=0,"",MAX(0,1-SUM(V241:X241)))</f>
        <v/>
      </c>
      <c r="Z241" s="13"/>
      <c r="AA241" s="9"/>
      <c r="AB241" s="7"/>
      <c r="AC241" s="7"/>
      <c r="AD241" s="7"/>
      <c r="AE241" s="7"/>
      <c r="AF241" s="14" t="str">
        <f aca="false">IF(D241="","",COUNTIF($D$2:D241,D241))</f>
        <v/>
      </c>
      <c r="AG241" s="15" t="str">
        <f aca="false" t="array" ref="AG241:AG241">IF(D241="","",IFERROR(MEDIAN(IF(($D$2:$D$401=D241)*($AF$2:$AF$401&gt;=AF241-5)*($AF$2:$AF$401&lt;=AF241-1)*($M$2:$M$401&lt;&gt;""),$M$2:$M$401)),""))</f>
        <v/>
      </c>
      <c r="AH241" s="16" t="str">
        <f aca="false">IF(AND(ISNUMBER(M241),ISNUMBER(AG241)),IF(AG241&gt;0,M241/AG241,""),"")</f>
        <v/>
      </c>
      <c r="AI241" s="15" t="str">
        <f aca="false" t="array" ref="AI241:AI241">IF(D241="","",IFERROR(MEDIAN(IF(($D$2:$D$401=D241)*($AF$2:$AF$401&gt;=AF241-5)*($AF$2:$AF$401&lt;=AF241-1)*($N$2:$N$401&lt;&gt;""),$N$2:$N$401)),""))</f>
        <v/>
      </c>
      <c r="AJ241" s="16" t="str">
        <f aca="false">IF(AND(ISNUMBER(N241),ISNUMBER(AI241)),IF(AI241&gt;0,N241/AI241,""),"")</f>
        <v/>
      </c>
      <c r="AK241" s="12" t="str">
        <f aca="false" t="array" ref="AK241:AK241">IF(D241="","",IFERROR(MEDIAN(IF(($D$2:$D$401=D241)*ISNUMBER($R$2:$R$401),$R$2:$R$401)),""))</f>
        <v/>
      </c>
      <c r="AL241" s="17" t="str">
        <f aca="false">IF(ISNUMBER(AJ241),IF(AND(AJ241&gt;=Resumen!$C$5,OR(NOT(ISNUMBER(R241)),NOT(ISNUMBER(AK241)),R241&gt;=AK241)),"Ganador",IF(AJ241&lt;=Resumen!$C$6,"Perdedor","Normal")),IF(ISNUMBER(AH241),IF(AH241&gt;=Resumen!$C$5,"Ganador (7 d, provisional)",IF(AH241&lt;=Resumen!$C$6,"Perdedor (7 d, provisional)","Normal (7 d, provisional)")),""))</f>
        <v/>
      </c>
      <c r="AM241" s="18" t="str">
        <f aca="false">IF(AND(ISNUMBER(Z241),ISNUMBER(N241)),IF(N241&gt;0,Z241/N241*1000,""),"")</f>
        <v/>
      </c>
      <c r="AN241" s="19" t="str">
        <f aca="false">IF(AND(ISNUMBER(U241),ISNUMBER(N241)),IF(N241&gt;0,U241/N241*1000,""),"")</f>
        <v/>
      </c>
    </row>
    <row r="242" customFormat="false" ht="15" hidden="false" customHeight="false" outlineLevel="0" collapsed="false">
      <c r="A242" s="7"/>
      <c r="B242" s="7"/>
      <c r="C242" s="8"/>
      <c r="D242" s="7"/>
      <c r="E242" s="7"/>
      <c r="F242" s="7"/>
      <c r="G242" s="7"/>
      <c r="H242" s="7"/>
      <c r="I242" s="7"/>
      <c r="J242" s="7"/>
      <c r="K242" s="9"/>
      <c r="L242" s="10"/>
      <c r="M242" s="10"/>
      <c r="N242" s="10"/>
      <c r="O242" s="10"/>
      <c r="P242" s="11"/>
      <c r="Q242" s="9"/>
      <c r="R242" s="12" t="str">
        <f aca="false">IF(AND(ISNUMBER(K242),ISNUMBER(Q242),K242&gt;0),Q242/K242,"")</f>
        <v/>
      </c>
      <c r="S242" s="11"/>
      <c r="T242" s="9"/>
      <c r="U242" s="10"/>
      <c r="V242" s="11"/>
      <c r="W242" s="11"/>
      <c r="X242" s="11"/>
      <c r="Y242" s="12" t="str">
        <f aca="false">IF(COUNT(V242:X242)=0,"",MAX(0,1-SUM(V242:X242)))</f>
        <v/>
      </c>
      <c r="Z242" s="13"/>
      <c r="AA242" s="9"/>
      <c r="AB242" s="7"/>
      <c r="AC242" s="7"/>
      <c r="AD242" s="7"/>
      <c r="AE242" s="7"/>
      <c r="AF242" s="14" t="str">
        <f aca="false">IF(D242="","",COUNTIF($D$2:D242,D242))</f>
        <v/>
      </c>
      <c r="AG242" s="15" t="str">
        <f aca="false" t="array" ref="AG242:AG242">IF(D242="","",IFERROR(MEDIAN(IF(($D$2:$D$401=D242)*($AF$2:$AF$401&gt;=AF242-5)*($AF$2:$AF$401&lt;=AF242-1)*($M$2:$M$401&lt;&gt;""),$M$2:$M$401)),""))</f>
        <v/>
      </c>
      <c r="AH242" s="16" t="str">
        <f aca="false">IF(AND(ISNUMBER(M242),ISNUMBER(AG242)),IF(AG242&gt;0,M242/AG242,""),"")</f>
        <v/>
      </c>
      <c r="AI242" s="15" t="str">
        <f aca="false" t="array" ref="AI242:AI242">IF(D242="","",IFERROR(MEDIAN(IF(($D$2:$D$401=D242)*($AF$2:$AF$401&gt;=AF242-5)*($AF$2:$AF$401&lt;=AF242-1)*($N$2:$N$401&lt;&gt;""),$N$2:$N$401)),""))</f>
        <v/>
      </c>
      <c r="AJ242" s="16" t="str">
        <f aca="false">IF(AND(ISNUMBER(N242),ISNUMBER(AI242)),IF(AI242&gt;0,N242/AI242,""),"")</f>
        <v/>
      </c>
      <c r="AK242" s="12" t="str">
        <f aca="false" t="array" ref="AK242:AK242">IF(D242="","",IFERROR(MEDIAN(IF(($D$2:$D$401=D242)*ISNUMBER($R$2:$R$401),$R$2:$R$401)),""))</f>
        <v/>
      </c>
      <c r="AL242" s="17" t="str">
        <f aca="false">IF(ISNUMBER(AJ242),IF(AND(AJ242&gt;=Resumen!$C$5,OR(NOT(ISNUMBER(R242)),NOT(ISNUMBER(AK242)),R242&gt;=AK242)),"Ganador",IF(AJ242&lt;=Resumen!$C$6,"Perdedor","Normal")),IF(ISNUMBER(AH242),IF(AH242&gt;=Resumen!$C$5,"Ganador (7 d, provisional)",IF(AH242&lt;=Resumen!$C$6,"Perdedor (7 d, provisional)","Normal (7 d, provisional)")),""))</f>
        <v/>
      </c>
      <c r="AM242" s="18" t="str">
        <f aca="false">IF(AND(ISNUMBER(Z242),ISNUMBER(N242)),IF(N242&gt;0,Z242/N242*1000,""),"")</f>
        <v/>
      </c>
      <c r="AN242" s="19" t="str">
        <f aca="false">IF(AND(ISNUMBER(U242),ISNUMBER(N242)),IF(N242&gt;0,U242/N242*1000,""),"")</f>
        <v/>
      </c>
    </row>
    <row r="243" customFormat="false" ht="15" hidden="false" customHeight="false" outlineLevel="0" collapsed="false">
      <c r="A243" s="7"/>
      <c r="B243" s="7"/>
      <c r="C243" s="8"/>
      <c r="D243" s="7"/>
      <c r="E243" s="7"/>
      <c r="F243" s="7"/>
      <c r="G243" s="7"/>
      <c r="H243" s="7"/>
      <c r="I243" s="7"/>
      <c r="J243" s="7"/>
      <c r="K243" s="9"/>
      <c r="L243" s="10"/>
      <c r="M243" s="10"/>
      <c r="N243" s="10"/>
      <c r="O243" s="10"/>
      <c r="P243" s="11"/>
      <c r="Q243" s="9"/>
      <c r="R243" s="12" t="str">
        <f aca="false">IF(AND(ISNUMBER(K243),ISNUMBER(Q243),K243&gt;0),Q243/K243,"")</f>
        <v/>
      </c>
      <c r="S243" s="11"/>
      <c r="T243" s="9"/>
      <c r="U243" s="10"/>
      <c r="V243" s="11"/>
      <c r="W243" s="11"/>
      <c r="X243" s="11"/>
      <c r="Y243" s="12" t="str">
        <f aca="false">IF(COUNT(V243:X243)=0,"",MAX(0,1-SUM(V243:X243)))</f>
        <v/>
      </c>
      <c r="Z243" s="13"/>
      <c r="AA243" s="9"/>
      <c r="AB243" s="7"/>
      <c r="AC243" s="7"/>
      <c r="AD243" s="7"/>
      <c r="AE243" s="7"/>
      <c r="AF243" s="14" t="str">
        <f aca="false">IF(D243="","",COUNTIF($D$2:D243,D243))</f>
        <v/>
      </c>
      <c r="AG243" s="15" t="str">
        <f aca="false" t="array" ref="AG243:AG243">IF(D243="","",IFERROR(MEDIAN(IF(($D$2:$D$401=D243)*($AF$2:$AF$401&gt;=AF243-5)*($AF$2:$AF$401&lt;=AF243-1)*($M$2:$M$401&lt;&gt;""),$M$2:$M$401)),""))</f>
        <v/>
      </c>
      <c r="AH243" s="16" t="str">
        <f aca="false">IF(AND(ISNUMBER(M243),ISNUMBER(AG243)),IF(AG243&gt;0,M243/AG243,""),"")</f>
        <v/>
      </c>
      <c r="AI243" s="15" t="str">
        <f aca="false" t="array" ref="AI243:AI243">IF(D243="","",IFERROR(MEDIAN(IF(($D$2:$D$401=D243)*($AF$2:$AF$401&gt;=AF243-5)*($AF$2:$AF$401&lt;=AF243-1)*($N$2:$N$401&lt;&gt;""),$N$2:$N$401)),""))</f>
        <v/>
      </c>
      <c r="AJ243" s="16" t="str">
        <f aca="false">IF(AND(ISNUMBER(N243),ISNUMBER(AI243)),IF(AI243&gt;0,N243/AI243,""),"")</f>
        <v/>
      </c>
      <c r="AK243" s="12" t="str">
        <f aca="false" t="array" ref="AK243:AK243">IF(D243="","",IFERROR(MEDIAN(IF(($D$2:$D$401=D243)*ISNUMBER($R$2:$R$401),$R$2:$R$401)),""))</f>
        <v/>
      </c>
      <c r="AL243" s="17" t="str">
        <f aca="false">IF(ISNUMBER(AJ243),IF(AND(AJ243&gt;=Resumen!$C$5,OR(NOT(ISNUMBER(R243)),NOT(ISNUMBER(AK243)),R243&gt;=AK243)),"Ganador",IF(AJ243&lt;=Resumen!$C$6,"Perdedor","Normal")),IF(ISNUMBER(AH243),IF(AH243&gt;=Resumen!$C$5,"Ganador (7 d, provisional)",IF(AH243&lt;=Resumen!$C$6,"Perdedor (7 d, provisional)","Normal (7 d, provisional)")),""))</f>
        <v/>
      </c>
      <c r="AM243" s="18" t="str">
        <f aca="false">IF(AND(ISNUMBER(Z243),ISNUMBER(N243)),IF(N243&gt;0,Z243/N243*1000,""),"")</f>
        <v/>
      </c>
      <c r="AN243" s="19" t="str">
        <f aca="false">IF(AND(ISNUMBER(U243),ISNUMBER(N243)),IF(N243&gt;0,U243/N243*1000,""),"")</f>
        <v/>
      </c>
    </row>
    <row r="244" customFormat="false" ht="15" hidden="false" customHeight="false" outlineLevel="0" collapsed="false">
      <c r="A244" s="7"/>
      <c r="B244" s="7"/>
      <c r="C244" s="8"/>
      <c r="D244" s="7"/>
      <c r="E244" s="7"/>
      <c r="F244" s="7"/>
      <c r="G244" s="7"/>
      <c r="H244" s="7"/>
      <c r="I244" s="7"/>
      <c r="J244" s="7"/>
      <c r="K244" s="9"/>
      <c r="L244" s="10"/>
      <c r="M244" s="10"/>
      <c r="N244" s="10"/>
      <c r="O244" s="10"/>
      <c r="P244" s="11"/>
      <c r="Q244" s="9"/>
      <c r="R244" s="12" t="str">
        <f aca="false">IF(AND(ISNUMBER(K244),ISNUMBER(Q244),K244&gt;0),Q244/K244,"")</f>
        <v/>
      </c>
      <c r="S244" s="11"/>
      <c r="T244" s="9"/>
      <c r="U244" s="10"/>
      <c r="V244" s="11"/>
      <c r="W244" s="11"/>
      <c r="X244" s="11"/>
      <c r="Y244" s="12" t="str">
        <f aca="false">IF(COUNT(V244:X244)=0,"",MAX(0,1-SUM(V244:X244)))</f>
        <v/>
      </c>
      <c r="Z244" s="13"/>
      <c r="AA244" s="9"/>
      <c r="AB244" s="7"/>
      <c r="AC244" s="7"/>
      <c r="AD244" s="7"/>
      <c r="AE244" s="7"/>
      <c r="AF244" s="14" t="str">
        <f aca="false">IF(D244="","",COUNTIF($D$2:D244,D244))</f>
        <v/>
      </c>
      <c r="AG244" s="15" t="str">
        <f aca="false" t="array" ref="AG244:AG244">IF(D244="","",IFERROR(MEDIAN(IF(($D$2:$D$401=D244)*($AF$2:$AF$401&gt;=AF244-5)*($AF$2:$AF$401&lt;=AF244-1)*($M$2:$M$401&lt;&gt;""),$M$2:$M$401)),""))</f>
        <v/>
      </c>
      <c r="AH244" s="16" t="str">
        <f aca="false">IF(AND(ISNUMBER(M244),ISNUMBER(AG244)),IF(AG244&gt;0,M244/AG244,""),"")</f>
        <v/>
      </c>
      <c r="AI244" s="15" t="str">
        <f aca="false" t="array" ref="AI244:AI244">IF(D244="","",IFERROR(MEDIAN(IF(($D$2:$D$401=D244)*($AF$2:$AF$401&gt;=AF244-5)*($AF$2:$AF$401&lt;=AF244-1)*($N$2:$N$401&lt;&gt;""),$N$2:$N$401)),""))</f>
        <v/>
      </c>
      <c r="AJ244" s="16" t="str">
        <f aca="false">IF(AND(ISNUMBER(N244),ISNUMBER(AI244)),IF(AI244&gt;0,N244/AI244,""),"")</f>
        <v/>
      </c>
      <c r="AK244" s="12" t="str">
        <f aca="false" t="array" ref="AK244:AK244">IF(D244="","",IFERROR(MEDIAN(IF(($D$2:$D$401=D244)*ISNUMBER($R$2:$R$401),$R$2:$R$401)),""))</f>
        <v/>
      </c>
      <c r="AL244" s="17" t="str">
        <f aca="false">IF(ISNUMBER(AJ244),IF(AND(AJ244&gt;=Resumen!$C$5,OR(NOT(ISNUMBER(R244)),NOT(ISNUMBER(AK244)),R244&gt;=AK244)),"Ganador",IF(AJ244&lt;=Resumen!$C$6,"Perdedor","Normal")),IF(ISNUMBER(AH244),IF(AH244&gt;=Resumen!$C$5,"Ganador (7 d, provisional)",IF(AH244&lt;=Resumen!$C$6,"Perdedor (7 d, provisional)","Normal (7 d, provisional)")),""))</f>
        <v/>
      </c>
      <c r="AM244" s="18" t="str">
        <f aca="false">IF(AND(ISNUMBER(Z244),ISNUMBER(N244)),IF(N244&gt;0,Z244/N244*1000,""),"")</f>
        <v/>
      </c>
      <c r="AN244" s="19" t="str">
        <f aca="false">IF(AND(ISNUMBER(U244),ISNUMBER(N244)),IF(N244&gt;0,U244/N244*1000,""),"")</f>
        <v/>
      </c>
    </row>
    <row r="245" customFormat="false" ht="15" hidden="false" customHeight="false" outlineLevel="0" collapsed="false">
      <c r="A245" s="7"/>
      <c r="B245" s="7"/>
      <c r="C245" s="8"/>
      <c r="D245" s="7"/>
      <c r="E245" s="7"/>
      <c r="F245" s="7"/>
      <c r="G245" s="7"/>
      <c r="H245" s="7"/>
      <c r="I245" s="7"/>
      <c r="J245" s="7"/>
      <c r="K245" s="9"/>
      <c r="L245" s="10"/>
      <c r="M245" s="10"/>
      <c r="N245" s="10"/>
      <c r="O245" s="10"/>
      <c r="P245" s="11"/>
      <c r="Q245" s="9"/>
      <c r="R245" s="12" t="str">
        <f aca="false">IF(AND(ISNUMBER(K245),ISNUMBER(Q245),K245&gt;0),Q245/K245,"")</f>
        <v/>
      </c>
      <c r="S245" s="11"/>
      <c r="T245" s="9"/>
      <c r="U245" s="10"/>
      <c r="V245" s="11"/>
      <c r="W245" s="11"/>
      <c r="X245" s="11"/>
      <c r="Y245" s="12" t="str">
        <f aca="false">IF(COUNT(V245:X245)=0,"",MAX(0,1-SUM(V245:X245)))</f>
        <v/>
      </c>
      <c r="Z245" s="13"/>
      <c r="AA245" s="9"/>
      <c r="AB245" s="7"/>
      <c r="AC245" s="7"/>
      <c r="AD245" s="7"/>
      <c r="AE245" s="7"/>
      <c r="AF245" s="14" t="str">
        <f aca="false">IF(D245="","",COUNTIF($D$2:D245,D245))</f>
        <v/>
      </c>
      <c r="AG245" s="15" t="str">
        <f aca="false" t="array" ref="AG245:AG245">IF(D245="","",IFERROR(MEDIAN(IF(($D$2:$D$401=D245)*($AF$2:$AF$401&gt;=AF245-5)*($AF$2:$AF$401&lt;=AF245-1)*($M$2:$M$401&lt;&gt;""),$M$2:$M$401)),""))</f>
        <v/>
      </c>
      <c r="AH245" s="16" t="str">
        <f aca="false">IF(AND(ISNUMBER(M245),ISNUMBER(AG245)),IF(AG245&gt;0,M245/AG245,""),"")</f>
        <v/>
      </c>
      <c r="AI245" s="15" t="str">
        <f aca="false" t="array" ref="AI245:AI245">IF(D245="","",IFERROR(MEDIAN(IF(($D$2:$D$401=D245)*($AF$2:$AF$401&gt;=AF245-5)*($AF$2:$AF$401&lt;=AF245-1)*($N$2:$N$401&lt;&gt;""),$N$2:$N$401)),""))</f>
        <v/>
      </c>
      <c r="AJ245" s="16" t="str">
        <f aca="false">IF(AND(ISNUMBER(N245),ISNUMBER(AI245)),IF(AI245&gt;0,N245/AI245,""),"")</f>
        <v/>
      </c>
      <c r="AK245" s="12" t="str">
        <f aca="false" t="array" ref="AK245:AK245">IF(D245="","",IFERROR(MEDIAN(IF(($D$2:$D$401=D245)*ISNUMBER($R$2:$R$401),$R$2:$R$401)),""))</f>
        <v/>
      </c>
      <c r="AL245" s="17" t="str">
        <f aca="false">IF(ISNUMBER(AJ245),IF(AND(AJ245&gt;=Resumen!$C$5,OR(NOT(ISNUMBER(R245)),NOT(ISNUMBER(AK245)),R245&gt;=AK245)),"Ganador",IF(AJ245&lt;=Resumen!$C$6,"Perdedor","Normal")),IF(ISNUMBER(AH245),IF(AH245&gt;=Resumen!$C$5,"Ganador (7 d, provisional)",IF(AH245&lt;=Resumen!$C$6,"Perdedor (7 d, provisional)","Normal (7 d, provisional)")),""))</f>
        <v/>
      </c>
      <c r="AM245" s="18" t="str">
        <f aca="false">IF(AND(ISNUMBER(Z245),ISNUMBER(N245)),IF(N245&gt;0,Z245/N245*1000,""),"")</f>
        <v/>
      </c>
      <c r="AN245" s="19" t="str">
        <f aca="false">IF(AND(ISNUMBER(U245),ISNUMBER(N245)),IF(N245&gt;0,U245/N245*1000,""),"")</f>
        <v/>
      </c>
    </row>
    <row r="246" customFormat="false" ht="15" hidden="false" customHeight="false" outlineLevel="0" collapsed="false">
      <c r="A246" s="7"/>
      <c r="B246" s="7"/>
      <c r="C246" s="8"/>
      <c r="D246" s="7"/>
      <c r="E246" s="7"/>
      <c r="F246" s="7"/>
      <c r="G246" s="7"/>
      <c r="H246" s="7"/>
      <c r="I246" s="7"/>
      <c r="J246" s="7"/>
      <c r="K246" s="9"/>
      <c r="L246" s="10"/>
      <c r="M246" s="10"/>
      <c r="N246" s="10"/>
      <c r="O246" s="10"/>
      <c r="P246" s="11"/>
      <c r="Q246" s="9"/>
      <c r="R246" s="12" t="str">
        <f aca="false">IF(AND(ISNUMBER(K246),ISNUMBER(Q246),K246&gt;0),Q246/K246,"")</f>
        <v/>
      </c>
      <c r="S246" s="11"/>
      <c r="T246" s="9"/>
      <c r="U246" s="10"/>
      <c r="V246" s="11"/>
      <c r="W246" s="11"/>
      <c r="X246" s="11"/>
      <c r="Y246" s="12" t="str">
        <f aca="false">IF(COUNT(V246:X246)=0,"",MAX(0,1-SUM(V246:X246)))</f>
        <v/>
      </c>
      <c r="Z246" s="13"/>
      <c r="AA246" s="9"/>
      <c r="AB246" s="7"/>
      <c r="AC246" s="7"/>
      <c r="AD246" s="7"/>
      <c r="AE246" s="7"/>
      <c r="AF246" s="14" t="str">
        <f aca="false">IF(D246="","",COUNTIF($D$2:D246,D246))</f>
        <v/>
      </c>
      <c r="AG246" s="15" t="str">
        <f aca="false" t="array" ref="AG246:AG246">IF(D246="","",IFERROR(MEDIAN(IF(($D$2:$D$401=D246)*($AF$2:$AF$401&gt;=AF246-5)*($AF$2:$AF$401&lt;=AF246-1)*($M$2:$M$401&lt;&gt;""),$M$2:$M$401)),""))</f>
        <v/>
      </c>
      <c r="AH246" s="16" t="str">
        <f aca="false">IF(AND(ISNUMBER(M246),ISNUMBER(AG246)),IF(AG246&gt;0,M246/AG246,""),"")</f>
        <v/>
      </c>
      <c r="AI246" s="15" t="str">
        <f aca="false" t="array" ref="AI246:AI246">IF(D246="","",IFERROR(MEDIAN(IF(($D$2:$D$401=D246)*($AF$2:$AF$401&gt;=AF246-5)*($AF$2:$AF$401&lt;=AF246-1)*($N$2:$N$401&lt;&gt;""),$N$2:$N$401)),""))</f>
        <v/>
      </c>
      <c r="AJ246" s="16" t="str">
        <f aca="false">IF(AND(ISNUMBER(N246),ISNUMBER(AI246)),IF(AI246&gt;0,N246/AI246,""),"")</f>
        <v/>
      </c>
      <c r="AK246" s="12" t="str">
        <f aca="false" t="array" ref="AK246:AK246">IF(D246="","",IFERROR(MEDIAN(IF(($D$2:$D$401=D246)*ISNUMBER($R$2:$R$401),$R$2:$R$401)),""))</f>
        <v/>
      </c>
      <c r="AL246" s="17" t="str">
        <f aca="false">IF(ISNUMBER(AJ246),IF(AND(AJ246&gt;=Resumen!$C$5,OR(NOT(ISNUMBER(R246)),NOT(ISNUMBER(AK246)),R246&gt;=AK246)),"Ganador",IF(AJ246&lt;=Resumen!$C$6,"Perdedor","Normal")),IF(ISNUMBER(AH246),IF(AH246&gt;=Resumen!$C$5,"Ganador (7 d, provisional)",IF(AH246&lt;=Resumen!$C$6,"Perdedor (7 d, provisional)","Normal (7 d, provisional)")),""))</f>
        <v/>
      </c>
      <c r="AM246" s="18" t="str">
        <f aca="false">IF(AND(ISNUMBER(Z246),ISNUMBER(N246)),IF(N246&gt;0,Z246/N246*1000,""),"")</f>
        <v/>
      </c>
      <c r="AN246" s="19" t="str">
        <f aca="false">IF(AND(ISNUMBER(U246),ISNUMBER(N246)),IF(N246&gt;0,U246/N246*1000,""),"")</f>
        <v/>
      </c>
    </row>
    <row r="247" customFormat="false" ht="15" hidden="false" customHeight="false" outlineLevel="0" collapsed="false">
      <c r="A247" s="7"/>
      <c r="B247" s="7"/>
      <c r="C247" s="8"/>
      <c r="D247" s="7"/>
      <c r="E247" s="7"/>
      <c r="F247" s="7"/>
      <c r="G247" s="7"/>
      <c r="H247" s="7"/>
      <c r="I247" s="7"/>
      <c r="J247" s="7"/>
      <c r="K247" s="9"/>
      <c r="L247" s="10"/>
      <c r="M247" s="10"/>
      <c r="N247" s="10"/>
      <c r="O247" s="10"/>
      <c r="P247" s="11"/>
      <c r="Q247" s="9"/>
      <c r="R247" s="12" t="str">
        <f aca="false">IF(AND(ISNUMBER(K247),ISNUMBER(Q247),K247&gt;0),Q247/K247,"")</f>
        <v/>
      </c>
      <c r="S247" s="11"/>
      <c r="T247" s="9"/>
      <c r="U247" s="10"/>
      <c r="V247" s="11"/>
      <c r="W247" s="11"/>
      <c r="X247" s="11"/>
      <c r="Y247" s="12" t="str">
        <f aca="false">IF(COUNT(V247:X247)=0,"",MAX(0,1-SUM(V247:X247)))</f>
        <v/>
      </c>
      <c r="Z247" s="13"/>
      <c r="AA247" s="9"/>
      <c r="AB247" s="7"/>
      <c r="AC247" s="7"/>
      <c r="AD247" s="7"/>
      <c r="AE247" s="7"/>
      <c r="AF247" s="14" t="str">
        <f aca="false">IF(D247="","",COUNTIF($D$2:D247,D247))</f>
        <v/>
      </c>
      <c r="AG247" s="15" t="str">
        <f aca="false" t="array" ref="AG247:AG247">IF(D247="","",IFERROR(MEDIAN(IF(($D$2:$D$401=D247)*($AF$2:$AF$401&gt;=AF247-5)*($AF$2:$AF$401&lt;=AF247-1)*($M$2:$M$401&lt;&gt;""),$M$2:$M$401)),""))</f>
        <v/>
      </c>
      <c r="AH247" s="16" t="str">
        <f aca="false">IF(AND(ISNUMBER(M247),ISNUMBER(AG247)),IF(AG247&gt;0,M247/AG247,""),"")</f>
        <v/>
      </c>
      <c r="AI247" s="15" t="str">
        <f aca="false" t="array" ref="AI247:AI247">IF(D247="","",IFERROR(MEDIAN(IF(($D$2:$D$401=D247)*($AF$2:$AF$401&gt;=AF247-5)*($AF$2:$AF$401&lt;=AF247-1)*($N$2:$N$401&lt;&gt;""),$N$2:$N$401)),""))</f>
        <v/>
      </c>
      <c r="AJ247" s="16" t="str">
        <f aca="false">IF(AND(ISNUMBER(N247),ISNUMBER(AI247)),IF(AI247&gt;0,N247/AI247,""),"")</f>
        <v/>
      </c>
      <c r="AK247" s="12" t="str">
        <f aca="false" t="array" ref="AK247:AK247">IF(D247="","",IFERROR(MEDIAN(IF(($D$2:$D$401=D247)*ISNUMBER($R$2:$R$401),$R$2:$R$401)),""))</f>
        <v/>
      </c>
      <c r="AL247" s="17" t="str">
        <f aca="false">IF(ISNUMBER(AJ247),IF(AND(AJ247&gt;=Resumen!$C$5,OR(NOT(ISNUMBER(R247)),NOT(ISNUMBER(AK247)),R247&gt;=AK247)),"Ganador",IF(AJ247&lt;=Resumen!$C$6,"Perdedor","Normal")),IF(ISNUMBER(AH247),IF(AH247&gt;=Resumen!$C$5,"Ganador (7 d, provisional)",IF(AH247&lt;=Resumen!$C$6,"Perdedor (7 d, provisional)","Normal (7 d, provisional)")),""))</f>
        <v/>
      </c>
      <c r="AM247" s="18" t="str">
        <f aca="false">IF(AND(ISNUMBER(Z247),ISNUMBER(N247)),IF(N247&gt;0,Z247/N247*1000,""),"")</f>
        <v/>
      </c>
      <c r="AN247" s="19" t="str">
        <f aca="false">IF(AND(ISNUMBER(U247),ISNUMBER(N247)),IF(N247&gt;0,U247/N247*1000,""),"")</f>
        <v/>
      </c>
    </row>
    <row r="248" customFormat="false" ht="15" hidden="false" customHeight="false" outlineLevel="0" collapsed="false">
      <c r="A248" s="7"/>
      <c r="B248" s="7"/>
      <c r="C248" s="8"/>
      <c r="D248" s="7"/>
      <c r="E248" s="7"/>
      <c r="F248" s="7"/>
      <c r="G248" s="7"/>
      <c r="H248" s="7"/>
      <c r="I248" s="7"/>
      <c r="J248" s="7"/>
      <c r="K248" s="9"/>
      <c r="L248" s="10"/>
      <c r="M248" s="10"/>
      <c r="N248" s="10"/>
      <c r="O248" s="10"/>
      <c r="P248" s="11"/>
      <c r="Q248" s="9"/>
      <c r="R248" s="12" t="str">
        <f aca="false">IF(AND(ISNUMBER(K248),ISNUMBER(Q248),K248&gt;0),Q248/K248,"")</f>
        <v/>
      </c>
      <c r="S248" s="11"/>
      <c r="T248" s="9"/>
      <c r="U248" s="10"/>
      <c r="V248" s="11"/>
      <c r="W248" s="11"/>
      <c r="X248" s="11"/>
      <c r="Y248" s="12" t="str">
        <f aca="false">IF(COUNT(V248:X248)=0,"",MAX(0,1-SUM(V248:X248)))</f>
        <v/>
      </c>
      <c r="Z248" s="13"/>
      <c r="AA248" s="9"/>
      <c r="AB248" s="7"/>
      <c r="AC248" s="7"/>
      <c r="AD248" s="7"/>
      <c r="AE248" s="7"/>
      <c r="AF248" s="14" t="str">
        <f aca="false">IF(D248="","",COUNTIF($D$2:D248,D248))</f>
        <v/>
      </c>
      <c r="AG248" s="15" t="str">
        <f aca="false" t="array" ref="AG248:AG248">IF(D248="","",IFERROR(MEDIAN(IF(($D$2:$D$401=D248)*($AF$2:$AF$401&gt;=AF248-5)*($AF$2:$AF$401&lt;=AF248-1)*($M$2:$M$401&lt;&gt;""),$M$2:$M$401)),""))</f>
        <v/>
      </c>
      <c r="AH248" s="16" t="str">
        <f aca="false">IF(AND(ISNUMBER(M248),ISNUMBER(AG248)),IF(AG248&gt;0,M248/AG248,""),"")</f>
        <v/>
      </c>
      <c r="AI248" s="15" t="str">
        <f aca="false" t="array" ref="AI248:AI248">IF(D248="","",IFERROR(MEDIAN(IF(($D$2:$D$401=D248)*($AF$2:$AF$401&gt;=AF248-5)*($AF$2:$AF$401&lt;=AF248-1)*($N$2:$N$401&lt;&gt;""),$N$2:$N$401)),""))</f>
        <v/>
      </c>
      <c r="AJ248" s="16" t="str">
        <f aca="false">IF(AND(ISNUMBER(N248),ISNUMBER(AI248)),IF(AI248&gt;0,N248/AI248,""),"")</f>
        <v/>
      </c>
      <c r="AK248" s="12" t="str">
        <f aca="false" t="array" ref="AK248:AK248">IF(D248="","",IFERROR(MEDIAN(IF(($D$2:$D$401=D248)*ISNUMBER($R$2:$R$401),$R$2:$R$401)),""))</f>
        <v/>
      </c>
      <c r="AL248" s="17" t="str">
        <f aca="false">IF(ISNUMBER(AJ248),IF(AND(AJ248&gt;=Resumen!$C$5,OR(NOT(ISNUMBER(R248)),NOT(ISNUMBER(AK248)),R248&gt;=AK248)),"Ganador",IF(AJ248&lt;=Resumen!$C$6,"Perdedor","Normal")),IF(ISNUMBER(AH248),IF(AH248&gt;=Resumen!$C$5,"Ganador (7 d, provisional)",IF(AH248&lt;=Resumen!$C$6,"Perdedor (7 d, provisional)","Normal (7 d, provisional)")),""))</f>
        <v/>
      </c>
      <c r="AM248" s="18" t="str">
        <f aca="false">IF(AND(ISNUMBER(Z248),ISNUMBER(N248)),IF(N248&gt;0,Z248/N248*1000,""),"")</f>
        <v/>
      </c>
      <c r="AN248" s="19" t="str">
        <f aca="false">IF(AND(ISNUMBER(U248),ISNUMBER(N248)),IF(N248&gt;0,U248/N248*1000,""),"")</f>
        <v/>
      </c>
    </row>
    <row r="249" customFormat="false" ht="15" hidden="false" customHeight="false" outlineLevel="0" collapsed="false">
      <c r="A249" s="7"/>
      <c r="B249" s="7"/>
      <c r="C249" s="8"/>
      <c r="D249" s="7"/>
      <c r="E249" s="7"/>
      <c r="F249" s="7"/>
      <c r="G249" s="7"/>
      <c r="H249" s="7"/>
      <c r="I249" s="7"/>
      <c r="J249" s="7"/>
      <c r="K249" s="9"/>
      <c r="L249" s="10"/>
      <c r="M249" s="10"/>
      <c r="N249" s="10"/>
      <c r="O249" s="10"/>
      <c r="P249" s="11"/>
      <c r="Q249" s="9"/>
      <c r="R249" s="12" t="str">
        <f aca="false">IF(AND(ISNUMBER(K249),ISNUMBER(Q249),K249&gt;0),Q249/K249,"")</f>
        <v/>
      </c>
      <c r="S249" s="11"/>
      <c r="T249" s="9"/>
      <c r="U249" s="10"/>
      <c r="V249" s="11"/>
      <c r="W249" s="11"/>
      <c r="X249" s="11"/>
      <c r="Y249" s="12" t="str">
        <f aca="false">IF(COUNT(V249:X249)=0,"",MAX(0,1-SUM(V249:X249)))</f>
        <v/>
      </c>
      <c r="Z249" s="13"/>
      <c r="AA249" s="9"/>
      <c r="AB249" s="7"/>
      <c r="AC249" s="7"/>
      <c r="AD249" s="7"/>
      <c r="AE249" s="7"/>
      <c r="AF249" s="14" t="str">
        <f aca="false">IF(D249="","",COUNTIF($D$2:D249,D249))</f>
        <v/>
      </c>
      <c r="AG249" s="15" t="str">
        <f aca="false" t="array" ref="AG249:AG249">IF(D249="","",IFERROR(MEDIAN(IF(($D$2:$D$401=D249)*($AF$2:$AF$401&gt;=AF249-5)*($AF$2:$AF$401&lt;=AF249-1)*($M$2:$M$401&lt;&gt;""),$M$2:$M$401)),""))</f>
        <v/>
      </c>
      <c r="AH249" s="16" t="str">
        <f aca="false">IF(AND(ISNUMBER(M249),ISNUMBER(AG249)),IF(AG249&gt;0,M249/AG249,""),"")</f>
        <v/>
      </c>
      <c r="AI249" s="15" t="str">
        <f aca="false" t="array" ref="AI249:AI249">IF(D249="","",IFERROR(MEDIAN(IF(($D$2:$D$401=D249)*($AF$2:$AF$401&gt;=AF249-5)*($AF$2:$AF$401&lt;=AF249-1)*($N$2:$N$401&lt;&gt;""),$N$2:$N$401)),""))</f>
        <v/>
      </c>
      <c r="AJ249" s="16" t="str">
        <f aca="false">IF(AND(ISNUMBER(N249),ISNUMBER(AI249)),IF(AI249&gt;0,N249/AI249,""),"")</f>
        <v/>
      </c>
      <c r="AK249" s="12" t="str">
        <f aca="false" t="array" ref="AK249:AK249">IF(D249="","",IFERROR(MEDIAN(IF(($D$2:$D$401=D249)*ISNUMBER($R$2:$R$401),$R$2:$R$401)),""))</f>
        <v/>
      </c>
      <c r="AL249" s="17" t="str">
        <f aca="false">IF(ISNUMBER(AJ249),IF(AND(AJ249&gt;=Resumen!$C$5,OR(NOT(ISNUMBER(R249)),NOT(ISNUMBER(AK249)),R249&gt;=AK249)),"Ganador",IF(AJ249&lt;=Resumen!$C$6,"Perdedor","Normal")),IF(ISNUMBER(AH249),IF(AH249&gt;=Resumen!$C$5,"Ganador (7 d, provisional)",IF(AH249&lt;=Resumen!$C$6,"Perdedor (7 d, provisional)","Normal (7 d, provisional)")),""))</f>
        <v/>
      </c>
      <c r="AM249" s="18" t="str">
        <f aca="false">IF(AND(ISNUMBER(Z249),ISNUMBER(N249)),IF(N249&gt;0,Z249/N249*1000,""),"")</f>
        <v/>
      </c>
      <c r="AN249" s="19" t="str">
        <f aca="false">IF(AND(ISNUMBER(U249),ISNUMBER(N249)),IF(N249&gt;0,U249/N249*1000,""),"")</f>
        <v/>
      </c>
    </row>
    <row r="250" customFormat="false" ht="15" hidden="false" customHeight="false" outlineLevel="0" collapsed="false">
      <c r="A250" s="7"/>
      <c r="B250" s="7"/>
      <c r="C250" s="8"/>
      <c r="D250" s="7"/>
      <c r="E250" s="7"/>
      <c r="F250" s="7"/>
      <c r="G250" s="7"/>
      <c r="H250" s="7"/>
      <c r="I250" s="7"/>
      <c r="J250" s="7"/>
      <c r="K250" s="9"/>
      <c r="L250" s="10"/>
      <c r="M250" s="10"/>
      <c r="N250" s="10"/>
      <c r="O250" s="10"/>
      <c r="P250" s="11"/>
      <c r="Q250" s="9"/>
      <c r="R250" s="12" t="str">
        <f aca="false">IF(AND(ISNUMBER(K250),ISNUMBER(Q250),K250&gt;0),Q250/K250,"")</f>
        <v/>
      </c>
      <c r="S250" s="11"/>
      <c r="T250" s="9"/>
      <c r="U250" s="10"/>
      <c r="V250" s="11"/>
      <c r="W250" s="11"/>
      <c r="X250" s="11"/>
      <c r="Y250" s="12" t="str">
        <f aca="false">IF(COUNT(V250:X250)=0,"",MAX(0,1-SUM(V250:X250)))</f>
        <v/>
      </c>
      <c r="Z250" s="13"/>
      <c r="AA250" s="9"/>
      <c r="AB250" s="7"/>
      <c r="AC250" s="7"/>
      <c r="AD250" s="7"/>
      <c r="AE250" s="7"/>
      <c r="AF250" s="14" t="str">
        <f aca="false">IF(D250="","",COUNTIF($D$2:D250,D250))</f>
        <v/>
      </c>
      <c r="AG250" s="15" t="str">
        <f aca="false" t="array" ref="AG250:AG250">IF(D250="","",IFERROR(MEDIAN(IF(($D$2:$D$401=D250)*($AF$2:$AF$401&gt;=AF250-5)*($AF$2:$AF$401&lt;=AF250-1)*($M$2:$M$401&lt;&gt;""),$M$2:$M$401)),""))</f>
        <v/>
      </c>
      <c r="AH250" s="16" t="str">
        <f aca="false">IF(AND(ISNUMBER(M250),ISNUMBER(AG250)),IF(AG250&gt;0,M250/AG250,""),"")</f>
        <v/>
      </c>
      <c r="AI250" s="15" t="str">
        <f aca="false" t="array" ref="AI250:AI250">IF(D250="","",IFERROR(MEDIAN(IF(($D$2:$D$401=D250)*($AF$2:$AF$401&gt;=AF250-5)*($AF$2:$AF$401&lt;=AF250-1)*($N$2:$N$401&lt;&gt;""),$N$2:$N$401)),""))</f>
        <v/>
      </c>
      <c r="AJ250" s="16" t="str">
        <f aca="false">IF(AND(ISNUMBER(N250),ISNUMBER(AI250)),IF(AI250&gt;0,N250/AI250,""),"")</f>
        <v/>
      </c>
      <c r="AK250" s="12" t="str">
        <f aca="false" t="array" ref="AK250:AK250">IF(D250="","",IFERROR(MEDIAN(IF(($D$2:$D$401=D250)*ISNUMBER($R$2:$R$401),$R$2:$R$401)),""))</f>
        <v/>
      </c>
      <c r="AL250" s="17" t="str">
        <f aca="false">IF(ISNUMBER(AJ250),IF(AND(AJ250&gt;=Resumen!$C$5,OR(NOT(ISNUMBER(R250)),NOT(ISNUMBER(AK250)),R250&gt;=AK250)),"Ganador",IF(AJ250&lt;=Resumen!$C$6,"Perdedor","Normal")),IF(ISNUMBER(AH250),IF(AH250&gt;=Resumen!$C$5,"Ganador (7 d, provisional)",IF(AH250&lt;=Resumen!$C$6,"Perdedor (7 d, provisional)","Normal (7 d, provisional)")),""))</f>
        <v/>
      </c>
      <c r="AM250" s="18" t="str">
        <f aca="false">IF(AND(ISNUMBER(Z250),ISNUMBER(N250)),IF(N250&gt;0,Z250/N250*1000,""),"")</f>
        <v/>
      </c>
      <c r="AN250" s="19" t="str">
        <f aca="false">IF(AND(ISNUMBER(U250),ISNUMBER(N250)),IF(N250&gt;0,U250/N250*1000,""),"")</f>
        <v/>
      </c>
    </row>
    <row r="251" customFormat="false" ht="15" hidden="false" customHeight="false" outlineLevel="0" collapsed="false">
      <c r="A251" s="7"/>
      <c r="B251" s="7"/>
      <c r="C251" s="8"/>
      <c r="D251" s="7"/>
      <c r="E251" s="7"/>
      <c r="F251" s="7"/>
      <c r="G251" s="7"/>
      <c r="H251" s="7"/>
      <c r="I251" s="7"/>
      <c r="J251" s="7"/>
      <c r="K251" s="9"/>
      <c r="L251" s="10"/>
      <c r="M251" s="10"/>
      <c r="N251" s="10"/>
      <c r="O251" s="10"/>
      <c r="P251" s="11"/>
      <c r="Q251" s="9"/>
      <c r="R251" s="12" t="str">
        <f aca="false">IF(AND(ISNUMBER(K251),ISNUMBER(Q251),K251&gt;0),Q251/K251,"")</f>
        <v/>
      </c>
      <c r="S251" s="11"/>
      <c r="T251" s="9"/>
      <c r="U251" s="10"/>
      <c r="V251" s="11"/>
      <c r="W251" s="11"/>
      <c r="X251" s="11"/>
      <c r="Y251" s="12" t="str">
        <f aca="false">IF(COUNT(V251:X251)=0,"",MAX(0,1-SUM(V251:X251)))</f>
        <v/>
      </c>
      <c r="Z251" s="13"/>
      <c r="AA251" s="9"/>
      <c r="AB251" s="7"/>
      <c r="AC251" s="7"/>
      <c r="AD251" s="7"/>
      <c r="AE251" s="7"/>
      <c r="AF251" s="14" t="str">
        <f aca="false">IF(D251="","",COUNTIF($D$2:D251,D251))</f>
        <v/>
      </c>
      <c r="AG251" s="15" t="str">
        <f aca="false" t="array" ref="AG251:AG251">IF(D251="","",IFERROR(MEDIAN(IF(($D$2:$D$401=D251)*($AF$2:$AF$401&gt;=AF251-5)*($AF$2:$AF$401&lt;=AF251-1)*($M$2:$M$401&lt;&gt;""),$M$2:$M$401)),""))</f>
        <v/>
      </c>
      <c r="AH251" s="16" t="str">
        <f aca="false">IF(AND(ISNUMBER(M251),ISNUMBER(AG251)),IF(AG251&gt;0,M251/AG251,""),"")</f>
        <v/>
      </c>
      <c r="AI251" s="15" t="str">
        <f aca="false" t="array" ref="AI251:AI251">IF(D251="","",IFERROR(MEDIAN(IF(($D$2:$D$401=D251)*($AF$2:$AF$401&gt;=AF251-5)*($AF$2:$AF$401&lt;=AF251-1)*($N$2:$N$401&lt;&gt;""),$N$2:$N$401)),""))</f>
        <v/>
      </c>
      <c r="AJ251" s="16" t="str">
        <f aca="false">IF(AND(ISNUMBER(N251),ISNUMBER(AI251)),IF(AI251&gt;0,N251/AI251,""),"")</f>
        <v/>
      </c>
      <c r="AK251" s="12" t="str">
        <f aca="false" t="array" ref="AK251:AK251">IF(D251="","",IFERROR(MEDIAN(IF(($D$2:$D$401=D251)*ISNUMBER($R$2:$R$401),$R$2:$R$401)),""))</f>
        <v/>
      </c>
      <c r="AL251" s="17" t="str">
        <f aca="false">IF(ISNUMBER(AJ251),IF(AND(AJ251&gt;=Resumen!$C$5,OR(NOT(ISNUMBER(R251)),NOT(ISNUMBER(AK251)),R251&gt;=AK251)),"Ganador",IF(AJ251&lt;=Resumen!$C$6,"Perdedor","Normal")),IF(ISNUMBER(AH251),IF(AH251&gt;=Resumen!$C$5,"Ganador (7 d, provisional)",IF(AH251&lt;=Resumen!$C$6,"Perdedor (7 d, provisional)","Normal (7 d, provisional)")),""))</f>
        <v/>
      </c>
      <c r="AM251" s="18" t="str">
        <f aca="false">IF(AND(ISNUMBER(Z251),ISNUMBER(N251)),IF(N251&gt;0,Z251/N251*1000,""),"")</f>
        <v/>
      </c>
      <c r="AN251" s="19" t="str">
        <f aca="false">IF(AND(ISNUMBER(U251),ISNUMBER(N251)),IF(N251&gt;0,U251/N251*1000,""),"")</f>
        <v/>
      </c>
    </row>
    <row r="252" customFormat="false" ht="15" hidden="false" customHeight="false" outlineLevel="0" collapsed="false">
      <c r="A252" s="7"/>
      <c r="B252" s="7"/>
      <c r="C252" s="8"/>
      <c r="D252" s="7"/>
      <c r="E252" s="7"/>
      <c r="F252" s="7"/>
      <c r="G252" s="7"/>
      <c r="H252" s="7"/>
      <c r="I252" s="7"/>
      <c r="J252" s="7"/>
      <c r="K252" s="9"/>
      <c r="L252" s="10"/>
      <c r="M252" s="10"/>
      <c r="N252" s="10"/>
      <c r="O252" s="10"/>
      <c r="P252" s="11"/>
      <c r="Q252" s="9"/>
      <c r="R252" s="12" t="str">
        <f aca="false">IF(AND(ISNUMBER(K252),ISNUMBER(Q252),K252&gt;0),Q252/K252,"")</f>
        <v/>
      </c>
      <c r="S252" s="11"/>
      <c r="T252" s="9"/>
      <c r="U252" s="10"/>
      <c r="V252" s="11"/>
      <c r="W252" s="11"/>
      <c r="X252" s="11"/>
      <c r="Y252" s="12" t="str">
        <f aca="false">IF(COUNT(V252:X252)=0,"",MAX(0,1-SUM(V252:X252)))</f>
        <v/>
      </c>
      <c r="Z252" s="13"/>
      <c r="AA252" s="9"/>
      <c r="AB252" s="7"/>
      <c r="AC252" s="7"/>
      <c r="AD252" s="7"/>
      <c r="AE252" s="7"/>
      <c r="AF252" s="14" t="str">
        <f aca="false">IF(D252="","",COUNTIF($D$2:D252,D252))</f>
        <v/>
      </c>
      <c r="AG252" s="15" t="str">
        <f aca="false" t="array" ref="AG252:AG252">IF(D252="","",IFERROR(MEDIAN(IF(($D$2:$D$401=D252)*($AF$2:$AF$401&gt;=AF252-5)*($AF$2:$AF$401&lt;=AF252-1)*($M$2:$M$401&lt;&gt;""),$M$2:$M$401)),""))</f>
        <v/>
      </c>
      <c r="AH252" s="16" t="str">
        <f aca="false">IF(AND(ISNUMBER(M252),ISNUMBER(AG252)),IF(AG252&gt;0,M252/AG252,""),"")</f>
        <v/>
      </c>
      <c r="AI252" s="15" t="str">
        <f aca="false" t="array" ref="AI252:AI252">IF(D252="","",IFERROR(MEDIAN(IF(($D$2:$D$401=D252)*($AF$2:$AF$401&gt;=AF252-5)*($AF$2:$AF$401&lt;=AF252-1)*($N$2:$N$401&lt;&gt;""),$N$2:$N$401)),""))</f>
        <v/>
      </c>
      <c r="AJ252" s="16" t="str">
        <f aca="false">IF(AND(ISNUMBER(N252),ISNUMBER(AI252)),IF(AI252&gt;0,N252/AI252,""),"")</f>
        <v/>
      </c>
      <c r="AK252" s="12" t="str">
        <f aca="false" t="array" ref="AK252:AK252">IF(D252="","",IFERROR(MEDIAN(IF(($D$2:$D$401=D252)*ISNUMBER($R$2:$R$401),$R$2:$R$401)),""))</f>
        <v/>
      </c>
      <c r="AL252" s="17" t="str">
        <f aca="false">IF(ISNUMBER(AJ252),IF(AND(AJ252&gt;=Resumen!$C$5,OR(NOT(ISNUMBER(R252)),NOT(ISNUMBER(AK252)),R252&gt;=AK252)),"Ganador",IF(AJ252&lt;=Resumen!$C$6,"Perdedor","Normal")),IF(ISNUMBER(AH252),IF(AH252&gt;=Resumen!$C$5,"Ganador (7 d, provisional)",IF(AH252&lt;=Resumen!$C$6,"Perdedor (7 d, provisional)","Normal (7 d, provisional)")),""))</f>
        <v/>
      </c>
      <c r="AM252" s="18" t="str">
        <f aca="false">IF(AND(ISNUMBER(Z252),ISNUMBER(N252)),IF(N252&gt;0,Z252/N252*1000,""),"")</f>
        <v/>
      </c>
      <c r="AN252" s="19" t="str">
        <f aca="false">IF(AND(ISNUMBER(U252),ISNUMBER(N252)),IF(N252&gt;0,U252/N252*1000,""),"")</f>
        <v/>
      </c>
    </row>
    <row r="253" customFormat="false" ht="15" hidden="false" customHeight="false" outlineLevel="0" collapsed="false">
      <c r="A253" s="7"/>
      <c r="B253" s="7"/>
      <c r="C253" s="8"/>
      <c r="D253" s="7"/>
      <c r="E253" s="7"/>
      <c r="F253" s="7"/>
      <c r="G253" s="7"/>
      <c r="H253" s="7"/>
      <c r="I253" s="7"/>
      <c r="J253" s="7"/>
      <c r="K253" s="9"/>
      <c r="L253" s="10"/>
      <c r="M253" s="10"/>
      <c r="N253" s="10"/>
      <c r="O253" s="10"/>
      <c r="P253" s="11"/>
      <c r="Q253" s="9"/>
      <c r="R253" s="12" t="str">
        <f aca="false">IF(AND(ISNUMBER(K253),ISNUMBER(Q253),K253&gt;0),Q253/K253,"")</f>
        <v/>
      </c>
      <c r="S253" s="11"/>
      <c r="T253" s="9"/>
      <c r="U253" s="10"/>
      <c r="V253" s="11"/>
      <c r="W253" s="11"/>
      <c r="X253" s="11"/>
      <c r="Y253" s="12" t="str">
        <f aca="false">IF(COUNT(V253:X253)=0,"",MAX(0,1-SUM(V253:X253)))</f>
        <v/>
      </c>
      <c r="Z253" s="13"/>
      <c r="AA253" s="9"/>
      <c r="AB253" s="7"/>
      <c r="AC253" s="7"/>
      <c r="AD253" s="7"/>
      <c r="AE253" s="7"/>
      <c r="AF253" s="14" t="str">
        <f aca="false">IF(D253="","",COUNTIF($D$2:D253,D253))</f>
        <v/>
      </c>
      <c r="AG253" s="15" t="str">
        <f aca="false" t="array" ref="AG253:AG253">IF(D253="","",IFERROR(MEDIAN(IF(($D$2:$D$401=D253)*($AF$2:$AF$401&gt;=AF253-5)*($AF$2:$AF$401&lt;=AF253-1)*($M$2:$M$401&lt;&gt;""),$M$2:$M$401)),""))</f>
        <v/>
      </c>
      <c r="AH253" s="16" t="str">
        <f aca="false">IF(AND(ISNUMBER(M253),ISNUMBER(AG253)),IF(AG253&gt;0,M253/AG253,""),"")</f>
        <v/>
      </c>
      <c r="AI253" s="15" t="str">
        <f aca="false" t="array" ref="AI253:AI253">IF(D253="","",IFERROR(MEDIAN(IF(($D$2:$D$401=D253)*($AF$2:$AF$401&gt;=AF253-5)*($AF$2:$AF$401&lt;=AF253-1)*($N$2:$N$401&lt;&gt;""),$N$2:$N$401)),""))</f>
        <v/>
      </c>
      <c r="AJ253" s="16" t="str">
        <f aca="false">IF(AND(ISNUMBER(N253),ISNUMBER(AI253)),IF(AI253&gt;0,N253/AI253,""),"")</f>
        <v/>
      </c>
      <c r="AK253" s="12" t="str">
        <f aca="false" t="array" ref="AK253:AK253">IF(D253="","",IFERROR(MEDIAN(IF(($D$2:$D$401=D253)*ISNUMBER($R$2:$R$401),$R$2:$R$401)),""))</f>
        <v/>
      </c>
      <c r="AL253" s="17" t="str">
        <f aca="false">IF(ISNUMBER(AJ253),IF(AND(AJ253&gt;=Resumen!$C$5,OR(NOT(ISNUMBER(R253)),NOT(ISNUMBER(AK253)),R253&gt;=AK253)),"Ganador",IF(AJ253&lt;=Resumen!$C$6,"Perdedor","Normal")),IF(ISNUMBER(AH253),IF(AH253&gt;=Resumen!$C$5,"Ganador (7 d, provisional)",IF(AH253&lt;=Resumen!$C$6,"Perdedor (7 d, provisional)","Normal (7 d, provisional)")),""))</f>
        <v/>
      </c>
      <c r="AM253" s="18" t="str">
        <f aca="false">IF(AND(ISNUMBER(Z253),ISNUMBER(N253)),IF(N253&gt;0,Z253/N253*1000,""),"")</f>
        <v/>
      </c>
      <c r="AN253" s="19" t="str">
        <f aca="false">IF(AND(ISNUMBER(U253),ISNUMBER(N253)),IF(N253&gt;0,U253/N253*1000,""),"")</f>
        <v/>
      </c>
    </row>
    <row r="254" customFormat="false" ht="15" hidden="false" customHeight="false" outlineLevel="0" collapsed="false">
      <c r="A254" s="7"/>
      <c r="B254" s="7"/>
      <c r="C254" s="8"/>
      <c r="D254" s="7"/>
      <c r="E254" s="7"/>
      <c r="F254" s="7"/>
      <c r="G254" s="7"/>
      <c r="H254" s="7"/>
      <c r="I254" s="7"/>
      <c r="J254" s="7"/>
      <c r="K254" s="9"/>
      <c r="L254" s="10"/>
      <c r="M254" s="10"/>
      <c r="N254" s="10"/>
      <c r="O254" s="10"/>
      <c r="P254" s="11"/>
      <c r="Q254" s="9"/>
      <c r="R254" s="12" t="str">
        <f aca="false">IF(AND(ISNUMBER(K254),ISNUMBER(Q254),K254&gt;0),Q254/K254,"")</f>
        <v/>
      </c>
      <c r="S254" s="11"/>
      <c r="T254" s="9"/>
      <c r="U254" s="10"/>
      <c r="V254" s="11"/>
      <c r="W254" s="11"/>
      <c r="X254" s="11"/>
      <c r="Y254" s="12" t="str">
        <f aca="false">IF(COUNT(V254:X254)=0,"",MAX(0,1-SUM(V254:X254)))</f>
        <v/>
      </c>
      <c r="Z254" s="13"/>
      <c r="AA254" s="9"/>
      <c r="AB254" s="7"/>
      <c r="AC254" s="7"/>
      <c r="AD254" s="7"/>
      <c r="AE254" s="7"/>
      <c r="AF254" s="14" t="str">
        <f aca="false">IF(D254="","",COUNTIF($D$2:D254,D254))</f>
        <v/>
      </c>
      <c r="AG254" s="15" t="str">
        <f aca="false" t="array" ref="AG254:AG254">IF(D254="","",IFERROR(MEDIAN(IF(($D$2:$D$401=D254)*($AF$2:$AF$401&gt;=AF254-5)*($AF$2:$AF$401&lt;=AF254-1)*($M$2:$M$401&lt;&gt;""),$M$2:$M$401)),""))</f>
        <v/>
      </c>
      <c r="AH254" s="16" t="str">
        <f aca="false">IF(AND(ISNUMBER(M254),ISNUMBER(AG254)),IF(AG254&gt;0,M254/AG254,""),"")</f>
        <v/>
      </c>
      <c r="AI254" s="15" t="str">
        <f aca="false" t="array" ref="AI254:AI254">IF(D254="","",IFERROR(MEDIAN(IF(($D$2:$D$401=D254)*($AF$2:$AF$401&gt;=AF254-5)*($AF$2:$AF$401&lt;=AF254-1)*($N$2:$N$401&lt;&gt;""),$N$2:$N$401)),""))</f>
        <v/>
      </c>
      <c r="AJ254" s="16" t="str">
        <f aca="false">IF(AND(ISNUMBER(N254),ISNUMBER(AI254)),IF(AI254&gt;0,N254/AI254,""),"")</f>
        <v/>
      </c>
      <c r="AK254" s="12" t="str">
        <f aca="false" t="array" ref="AK254:AK254">IF(D254="","",IFERROR(MEDIAN(IF(($D$2:$D$401=D254)*ISNUMBER($R$2:$R$401),$R$2:$R$401)),""))</f>
        <v/>
      </c>
      <c r="AL254" s="17" t="str">
        <f aca="false">IF(ISNUMBER(AJ254),IF(AND(AJ254&gt;=Resumen!$C$5,OR(NOT(ISNUMBER(R254)),NOT(ISNUMBER(AK254)),R254&gt;=AK254)),"Ganador",IF(AJ254&lt;=Resumen!$C$6,"Perdedor","Normal")),IF(ISNUMBER(AH254),IF(AH254&gt;=Resumen!$C$5,"Ganador (7 d, provisional)",IF(AH254&lt;=Resumen!$C$6,"Perdedor (7 d, provisional)","Normal (7 d, provisional)")),""))</f>
        <v/>
      </c>
      <c r="AM254" s="18" t="str">
        <f aca="false">IF(AND(ISNUMBER(Z254),ISNUMBER(N254)),IF(N254&gt;0,Z254/N254*1000,""),"")</f>
        <v/>
      </c>
      <c r="AN254" s="19" t="str">
        <f aca="false">IF(AND(ISNUMBER(U254),ISNUMBER(N254)),IF(N254&gt;0,U254/N254*1000,""),"")</f>
        <v/>
      </c>
    </row>
    <row r="255" customFormat="false" ht="15" hidden="false" customHeight="false" outlineLevel="0" collapsed="false">
      <c r="A255" s="7"/>
      <c r="B255" s="7"/>
      <c r="C255" s="8"/>
      <c r="D255" s="7"/>
      <c r="E255" s="7"/>
      <c r="F255" s="7"/>
      <c r="G255" s="7"/>
      <c r="H255" s="7"/>
      <c r="I255" s="7"/>
      <c r="J255" s="7"/>
      <c r="K255" s="9"/>
      <c r="L255" s="10"/>
      <c r="M255" s="10"/>
      <c r="N255" s="10"/>
      <c r="O255" s="10"/>
      <c r="P255" s="11"/>
      <c r="Q255" s="9"/>
      <c r="R255" s="12" t="str">
        <f aca="false">IF(AND(ISNUMBER(K255),ISNUMBER(Q255),K255&gt;0),Q255/K255,"")</f>
        <v/>
      </c>
      <c r="S255" s="11"/>
      <c r="T255" s="9"/>
      <c r="U255" s="10"/>
      <c r="V255" s="11"/>
      <c r="W255" s="11"/>
      <c r="X255" s="11"/>
      <c r="Y255" s="12" t="str">
        <f aca="false">IF(COUNT(V255:X255)=0,"",MAX(0,1-SUM(V255:X255)))</f>
        <v/>
      </c>
      <c r="Z255" s="13"/>
      <c r="AA255" s="9"/>
      <c r="AB255" s="7"/>
      <c r="AC255" s="7"/>
      <c r="AD255" s="7"/>
      <c r="AE255" s="7"/>
      <c r="AF255" s="14" t="str">
        <f aca="false">IF(D255="","",COUNTIF($D$2:D255,D255))</f>
        <v/>
      </c>
      <c r="AG255" s="15" t="str">
        <f aca="false" t="array" ref="AG255:AG255">IF(D255="","",IFERROR(MEDIAN(IF(($D$2:$D$401=D255)*($AF$2:$AF$401&gt;=AF255-5)*($AF$2:$AF$401&lt;=AF255-1)*($M$2:$M$401&lt;&gt;""),$M$2:$M$401)),""))</f>
        <v/>
      </c>
      <c r="AH255" s="16" t="str">
        <f aca="false">IF(AND(ISNUMBER(M255),ISNUMBER(AG255)),IF(AG255&gt;0,M255/AG255,""),"")</f>
        <v/>
      </c>
      <c r="AI255" s="15" t="str">
        <f aca="false" t="array" ref="AI255:AI255">IF(D255="","",IFERROR(MEDIAN(IF(($D$2:$D$401=D255)*($AF$2:$AF$401&gt;=AF255-5)*($AF$2:$AF$401&lt;=AF255-1)*($N$2:$N$401&lt;&gt;""),$N$2:$N$401)),""))</f>
        <v/>
      </c>
      <c r="AJ255" s="16" t="str">
        <f aca="false">IF(AND(ISNUMBER(N255),ISNUMBER(AI255)),IF(AI255&gt;0,N255/AI255,""),"")</f>
        <v/>
      </c>
      <c r="AK255" s="12" t="str">
        <f aca="false" t="array" ref="AK255:AK255">IF(D255="","",IFERROR(MEDIAN(IF(($D$2:$D$401=D255)*ISNUMBER($R$2:$R$401),$R$2:$R$401)),""))</f>
        <v/>
      </c>
      <c r="AL255" s="17" t="str">
        <f aca="false">IF(ISNUMBER(AJ255),IF(AND(AJ255&gt;=Resumen!$C$5,OR(NOT(ISNUMBER(R255)),NOT(ISNUMBER(AK255)),R255&gt;=AK255)),"Ganador",IF(AJ255&lt;=Resumen!$C$6,"Perdedor","Normal")),IF(ISNUMBER(AH255),IF(AH255&gt;=Resumen!$C$5,"Ganador (7 d, provisional)",IF(AH255&lt;=Resumen!$C$6,"Perdedor (7 d, provisional)","Normal (7 d, provisional)")),""))</f>
        <v/>
      </c>
      <c r="AM255" s="18" t="str">
        <f aca="false">IF(AND(ISNUMBER(Z255),ISNUMBER(N255)),IF(N255&gt;0,Z255/N255*1000,""),"")</f>
        <v/>
      </c>
      <c r="AN255" s="19" t="str">
        <f aca="false">IF(AND(ISNUMBER(U255),ISNUMBER(N255)),IF(N255&gt;0,U255/N255*1000,""),"")</f>
        <v/>
      </c>
    </row>
    <row r="256" customFormat="false" ht="15" hidden="false" customHeight="false" outlineLevel="0" collapsed="false">
      <c r="A256" s="7"/>
      <c r="B256" s="7"/>
      <c r="C256" s="8"/>
      <c r="D256" s="7"/>
      <c r="E256" s="7"/>
      <c r="F256" s="7"/>
      <c r="G256" s="7"/>
      <c r="H256" s="7"/>
      <c r="I256" s="7"/>
      <c r="J256" s="7"/>
      <c r="K256" s="9"/>
      <c r="L256" s="10"/>
      <c r="M256" s="10"/>
      <c r="N256" s="10"/>
      <c r="O256" s="10"/>
      <c r="P256" s="11"/>
      <c r="Q256" s="9"/>
      <c r="R256" s="12" t="str">
        <f aca="false">IF(AND(ISNUMBER(K256),ISNUMBER(Q256),K256&gt;0),Q256/K256,"")</f>
        <v/>
      </c>
      <c r="S256" s="11"/>
      <c r="T256" s="9"/>
      <c r="U256" s="10"/>
      <c r="V256" s="11"/>
      <c r="W256" s="11"/>
      <c r="X256" s="11"/>
      <c r="Y256" s="12" t="str">
        <f aca="false">IF(COUNT(V256:X256)=0,"",MAX(0,1-SUM(V256:X256)))</f>
        <v/>
      </c>
      <c r="Z256" s="13"/>
      <c r="AA256" s="9"/>
      <c r="AB256" s="7"/>
      <c r="AC256" s="7"/>
      <c r="AD256" s="7"/>
      <c r="AE256" s="7"/>
      <c r="AF256" s="14" t="str">
        <f aca="false">IF(D256="","",COUNTIF($D$2:D256,D256))</f>
        <v/>
      </c>
      <c r="AG256" s="15" t="str">
        <f aca="false" t="array" ref="AG256:AG256">IF(D256="","",IFERROR(MEDIAN(IF(($D$2:$D$401=D256)*($AF$2:$AF$401&gt;=AF256-5)*($AF$2:$AF$401&lt;=AF256-1)*($M$2:$M$401&lt;&gt;""),$M$2:$M$401)),""))</f>
        <v/>
      </c>
      <c r="AH256" s="16" t="str">
        <f aca="false">IF(AND(ISNUMBER(M256),ISNUMBER(AG256)),IF(AG256&gt;0,M256/AG256,""),"")</f>
        <v/>
      </c>
      <c r="AI256" s="15" t="str">
        <f aca="false" t="array" ref="AI256:AI256">IF(D256="","",IFERROR(MEDIAN(IF(($D$2:$D$401=D256)*($AF$2:$AF$401&gt;=AF256-5)*($AF$2:$AF$401&lt;=AF256-1)*($N$2:$N$401&lt;&gt;""),$N$2:$N$401)),""))</f>
        <v/>
      </c>
      <c r="AJ256" s="16" t="str">
        <f aca="false">IF(AND(ISNUMBER(N256),ISNUMBER(AI256)),IF(AI256&gt;0,N256/AI256,""),"")</f>
        <v/>
      </c>
      <c r="AK256" s="12" t="str">
        <f aca="false" t="array" ref="AK256:AK256">IF(D256="","",IFERROR(MEDIAN(IF(($D$2:$D$401=D256)*ISNUMBER($R$2:$R$401),$R$2:$R$401)),""))</f>
        <v/>
      </c>
      <c r="AL256" s="17" t="str">
        <f aca="false">IF(ISNUMBER(AJ256),IF(AND(AJ256&gt;=Resumen!$C$5,OR(NOT(ISNUMBER(R256)),NOT(ISNUMBER(AK256)),R256&gt;=AK256)),"Ganador",IF(AJ256&lt;=Resumen!$C$6,"Perdedor","Normal")),IF(ISNUMBER(AH256),IF(AH256&gt;=Resumen!$C$5,"Ganador (7 d, provisional)",IF(AH256&lt;=Resumen!$C$6,"Perdedor (7 d, provisional)","Normal (7 d, provisional)")),""))</f>
        <v/>
      </c>
      <c r="AM256" s="18" t="str">
        <f aca="false">IF(AND(ISNUMBER(Z256),ISNUMBER(N256)),IF(N256&gt;0,Z256/N256*1000,""),"")</f>
        <v/>
      </c>
      <c r="AN256" s="19" t="str">
        <f aca="false">IF(AND(ISNUMBER(U256),ISNUMBER(N256)),IF(N256&gt;0,U256/N256*1000,""),"")</f>
        <v/>
      </c>
    </row>
    <row r="257" customFormat="false" ht="15" hidden="false" customHeight="false" outlineLevel="0" collapsed="false">
      <c r="A257" s="7"/>
      <c r="B257" s="7"/>
      <c r="C257" s="8"/>
      <c r="D257" s="7"/>
      <c r="E257" s="7"/>
      <c r="F257" s="7"/>
      <c r="G257" s="7"/>
      <c r="H257" s="7"/>
      <c r="I257" s="7"/>
      <c r="J257" s="7"/>
      <c r="K257" s="9"/>
      <c r="L257" s="10"/>
      <c r="M257" s="10"/>
      <c r="N257" s="10"/>
      <c r="O257" s="10"/>
      <c r="P257" s="11"/>
      <c r="Q257" s="9"/>
      <c r="R257" s="12" t="str">
        <f aca="false">IF(AND(ISNUMBER(K257),ISNUMBER(Q257),K257&gt;0),Q257/K257,"")</f>
        <v/>
      </c>
      <c r="S257" s="11"/>
      <c r="T257" s="9"/>
      <c r="U257" s="10"/>
      <c r="V257" s="11"/>
      <c r="W257" s="11"/>
      <c r="X257" s="11"/>
      <c r="Y257" s="12" t="str">
        <f aca="false">IF(COUNT(V257:X257)=0,"",MAX(0,1-SUM(V257:X257)))</f>
        <v/>
      </c>
      <c r="Z257" s="13"/>
      <c r="AA257" s="9"/>
      <c r="AB257" s="7"/>
      <c r="AC257" s="7"/>
      <c r="AD257" s="7"/>
      <c r="AE257" s="7"/>
      <c r="AF257" s="14" t="str">
        <f aca="false">IF(D257="","",COUNTIF($D$2:D257,D257))</f>
        <v/>
      </c>
      <c r="AG257" s="15" t="str">
        <f aca="false" t="array" ref="AG257:AG257">IF(D257="","",IFERROR(MEDIAN(IF(($D$2:$D$401=D257)*($AF$2:$AF$401&gt;=AF257-5)*($AF$2:$AF$401&lt;=AF257-1)*($M$2:$M$401&lt;&gt;""),$M$2:$M$401)),""))</f>
        <v/>
      </c>
      <c r="AH257" s="16" t="str">
        <f aca="false">IF(AND(ISNUMBER(M257),ISNUMBER(AG257)),IF(AG257&gt;0,M257/AG257,""),"")</f>
        <v/>
      </c>
      <c r="AI257" s="15" t="str">
        <f aca="false" t="array" ref="AI257:AI257">IF(D257="","",IFERROR(MEDIAN(IF(($D$2:$D$401=D257)*($AF$2:$AF$401&gt;=AF257-5)*($AF$2:$AF$401&lt;=AF257-1)*($N$2:$N$401&lt;&gt;""),$N$2:$N$401)),""))</f>
        <v/>
      </c>
      <c r="AJ257" s="16" t="str">
        <f aca="false">IF(AND(ISNUMBER(N257),ISNUMBER(AI257)),IF(AI257&gt;0,N257/AI257,""),"")</f>
        <v/>
      </c>
      <c r="AK257" s="12" t="str">
        <f aca="false" t="array" ref="AK257:AK257">IF(D257="","",IFERROR(MEDIAN(IF(($D$2:$D$401=D257)*ISNUMBER($R$2:$R$401),$R$2:$R$401)),""))</f>
        <v/>
      </c>
      <c r="AL257" s="17" t="str">
        <f aca="false">IF(ISNUMBER(AJ257),IF(AND(AJ257&gt;=Resumen!$C$5,OR(NOT(ISNUMBER(R257)),NOT(ISNUMBER(AK257)),R257&gt;=AK257)),"Ganador",IF(AJ257&lt;=Resumen!$C$6,"Perdedor","Normal")),IF(ISNUMBER(AH257),IF(AH257&gt;=Resumen!$C$5,"Ganador (7 d, provisional)",IF(AH257&lt;=Resumen!$C$6,"Perdedor (7 d, provisional)","Normal (7 d, provisional)")),""))</f>
        <v/>
      </c>
      <c r="AM257" s="18" t="str">
        <f aca="false">IF(AND(ISNUMBER(Z257),ISNUMBER(N257)),IF(N257&gt;0,Z257/N257*1000,""),"")</f>
        <v/>
      </c>
      <c r="AN257" s="19" t="str">
        <f aca="false">IF(AND(ISNUMBER(U257),ISNUMBER(N257)),IF(N257&gt;0,U257/N257*1000,""),"")</f>
        <v/>
      </c>
    </row>
    <row r="258" customFormat="false" ht="15" hidden="false" customHeight="false" outlineLevel="0" collapsed="false">
      <c r="A258" s="7"/>
      <c r="B258" s="7"/>
      <c r="C258" s="8"/>
      <c r="D258" s="7"/>
      <c r="E258" s="7"/>
      <c r="F258" s="7"/>
      <c r="G258" s="7"/>
      <c r="H258" s="7"/>
      <c r="I258" s="7"/>
      <c r="J258" s="7"/>
      <c r="K258" s="9"/>
      <c r="L258" s="10"/>
      <c r="M258" s="10"/>
      <c r="N258" s="10"/>
      <c r="O258" s="10"/>
      <c r="P258" s="11"/>
      <c r="Q258" s="9"/>
      <c r="R258" s="12" t="str">
        <f aca="false">IF(AND(ISNUMBER(K258),ISNUMBER(Q258),K258&gt;0),Q258/K258,"")</f>
        <v/>
      </c>
      <c r="S258" s="11"/>
      <c r="T258" s="9"/>
      <c r="U258" s="10"/>
      <c r="V258" s="11"/>
      <c r="W258" s="11"/>
      <c r="X258" s="11"/>
      <c r="Y258" s="12" t="str">
        <f aca="false">IF(COUNT(V258:X258)=0,"",MAX(0,1-SUM(V258:X258)))</f>
        <v/>
      </c>
      <c r="Z258" s="13"/>
      <c r="AA258" s="9"/>
      <c r="AB258" s="7"/>
      <c r="AC258" s="7"/>
      <c r="AD258" s="7"/>
      <c r="AE258" s="7"/>
      <c r="AF258" s="14" t="str">
        <f aca="false">IF(D258="","",COUNTIF($D$2:D258,D258))</f>
        <v/>
      </c>
      <c r="AG258" s="15" t="str">
        <f aca="false" t="array" ref="AG258:AG258">IF(D258="","",IFERROR(MEDIAN(IF(($D$2:$D$401=D258)*($AF$2:$AF$401&gt;=AF258-5)*($AF$2:$AF$401&lt;=AF258-1)*($M$2:$M$401&lt;&gt;""),$M$2:$M$401)),""))</f>
        <v/>
      </c>
      <c r="AH258" s="16" t="str">
        <f aca="false">IF(AND(ISNUMBER(M258),ISNUMBER(AG258)),IF(AG258&gt;0,M258/AG258,""),"")</f>
        <v/>
      </c>
      <c r="AI258" s="15" t="str">
        <f aca="false" t="array" ref="AI258:AI258">IF(D258="","",IFERROR(MEDIAN(IF(($D$2:$D$401=D258)*($AF$2:$AF$401&gt;=AF258-5)*($AF$2:$AF$401&lt;=AF258-1)*($N$2:$N$401&lt;&gt;""),$N$2:$N$401)),""))</f>
        <v/>
      </c>
      <c r="AJ258" s="16" t="str">
        <f aca="false">IF(AND(ISNUMBER(N258),ISNUMBER(AI258)),IF(AI258&gt;0,N258/AI258,""),"")</f>
        <v/>
      </c>
      <c r="AK258" s="12" t="str">
        <f aca="false" t="array" ref="AK258:AK258">IF(D258="","",IFERROR(MEDIAN(IF(($D$2:$D$401=D258)*ISNUMBER($R$2:$R$401),$R$2:$R$401)),""))</f>
        <v/>
      </c>
      <c r="AL258" s="17" t="str">
        <f aca="false">IF(ISNUMBER(AJ258),IF(AND(AJ258&gt;=Resumen!$C$5,OR(NOT(ISNUMBER(R258)),NOT(ISNUMBER(AK258)),R258&gt;=AK258)),"Ganador",IF(AJ258&lt;=Resumen!$C$6,"Perdedor","Normal")),IF(ISNUMBER(AH258),IF(AH258&gt;=Resumen!$C$5,"Ganador (7 d, provisional)",IF(AH258&lt;=Resumen!$C$6,"Perdedor (7 d, provisional)","Normal (7 d, provisional)")),""))</f>
        <v/>
      </c>
      <c r="AM258" s="18" t="str">
        <f aca="false">IF(AND(ISNUMBER(Z258),ISNUMBER(N258)),IF(N258&gt;0,Z258/N258*1000,""),"")</f>
        <v/>
      </c>
      <c r="AN258" s="19" t="str">
        <f aca="false">IF(AND(ISNUMBER(U258),ISNUMBER(N258)),IF(N258&gt;0,U258/N258*1000,""),"")</f>
        <v/>
      </c>
    </row>
    <row r="259" customFormat="false" ht="15" hidden="false" customHeight="false" outlineLevel="0" collapsed="false">
      <c r="A259" s="7"/>
      <c r="B259" s="7"/>
      <c r="C259" s="8"/>
      <c r="D259" s="7"/>
      <c r="E259" s="7"/>
      <c r="F259" s="7"/>
      <c r="G259" s="7"/>
      <c r="H259" s="7"/>
      <c r="I259" s="7"/>
      <c r="J259" s="7"/>
      <c r="K259" s="9"/>
      <c r="L259" s="10"/>
      <c r="M259" s="10"/>
      <c r="N259" s="10"/>
      <c r="O259" s="10"/>
      <c r="P259" s="11"/>
      <c r="Q259" s="9"/>
      <c r="R259" s="12" t="str">
        <f aca="false">IF(AND(ISNUMBER(K259),ISNUMBER(Q259),K259&gt;0),Q259/K259,"")</f>
        <v/>
      </c>
      <c r="S259" s="11"/>
      <c r="T259" s="9"/>
      <c r="U259" s="10"/>
      <c r="V259" s="11"/>
      <c r="W259" s="11"/>
      <c r="X259" s="11"/>
      <c r="Y259" s="12" t="str">
        <f aca="false">IF(COUNT(V259:X259)=0,"",MAX(0,1-SUM(V259:X259)))</f>
        <v/>
      </c>
      <c r="Z259" s="13"/>
      <c r="AA259" s="9"/>
      <c r="AB259" s="7"/>
      <c r="AC259" s="7"/>
      <c r="AD259" s="7"/>
      <c r="AE259" s="7"/>
      <c r="AF259" s="14" t="str">
        <f aca="false">IF(D259="","",COUNTIF($D$2:D259,D259))</f>
        <v/>
      </c>
      <c r="AG259" s="15" t="str">
        <f aca="false" t="array" ref="AG259:AG259">IF(D259="","",IFERROR(MEDIAN(IF(($D$2:$D$401=D259)*($AF$2:$AF$401&gt;=AF259-5)*($AF$2:$AF$401&lt;=AF259-1)*($M$2:$M$401&lt;&gt;""),$M$2:$M$401)),""))</f>
        <v/>
      </c>
      <c r="AH259" s="16" t="str">
        <f aca="false">IF(AND(ISNUMBER(M259),ISNUMBER(AG259)),IF(AG259&gt;0,M259/AG259,""),"")</f>
        <v/>
      </c>
      <c r="AI259" s="15" t="str">
        <f aca="false" t="array" ref="AI259:AI259">IF(D259="","",IFERROR(MEDIAN(IF(($D$2:$D$401=D259)*($AF$2:$AF$401&gt;=AF259-5)*($AF$2:$AF$401&lt;=AF259-1)*($N$2:$N$401&lt;&gt;""),$N$2:$N$401)),""))</f>
        <v/>
      </c>
      <c r="AJ259" s="16" t="str">
        <f aca="false">IF(AND(ISNUMBER(N259),ISNUMBER(AI259)),IF(AI259&gt;0,N259/AI259,""),"")</f>
        <v/>
      </c>
      <c r="AK259" s="12" t="str">
        <f aca="false" t="array" ref="AK259:AK259">IF(D259="","",IFERROR(MEDIAN(IF(($D$2:$D$401=D259)*ISNUMBER($R$2:$R$401),$R$2:$R$401)),""))</f>
        <v/>
      </c>
      <c r="AL259" s="17" t="str">
        <f aca="false">IF(ISNUMBER(AJ259),IF(AND(AJ259&gt;=Resumen!$C$5,OR(NOT(ISNUMBER(R259)),NOT(ISNUMBER(AK259)),R259&gt;=AK259)),"Ganador",IF(AJ259&lt;=Resumen!$C$6,"Perdedor","Normal")),IF(ISNUMBER(AH259),IF(AH259&gt;=Resumen!$C$5,"Ganador (7 d, provisional)",IF(AH259&lt;=Resumen!$C$6,"Perdedor (7 d, provisional)","Normal (7 d, provisional)")),""))</f>
        <v/>
      </c>
      <c r="AM259" s="18" t="str">
        <f aca="false">IF(AND(ISNUMBER(Z259),ISNUMBER(N259)),IF(N259&gt;0,Z259/N259*1000,""),"")</f>
        <v/>
      </c>
      <c r="AN259" s="19" t="str">
        <f aca="false">IF(AND(ISNUMBER(U259),ISNUMBER(N259)),IF(N259&gt;0,U259/N259*1000,""),"")</f>
        <v/>
      </c>
    </row>
    <row r="260" customFormat="false" ht="15" hidden="false" customHeight="false" outlineLevel="0" collapsed="false">
      <c r="A260" s="7"/>
      <c r="B260" s="7"/>
      <c r="C260" s="8"/>
      <c r="D260" s="7"/>
      <c r="E260" s="7"/>
      <c r="F260" s="7"/>
      <c r="G260" s="7"/>
      <c r="H260" s="7"/>
      <c r="I260" s="7"/>
      <c r="J260" s="7"/>
      <c r="K260" s="9"/>
      <c r="L260" s="10"/>
      <c r="M260" s="10"/>
      <c r="N260" s="10"/>
      <c r="O260" s="10"/>
      <c r="P260" s="11"/>
      <c r="Q260" s="9"/>
      <c r="R260" s="12" t="str">
        <f aca="false">IF(AND(ISNUMBER(K260),ISNUMBER(Q260),K260&gt;0),Q260/K260,"")</f>
        <v/>
      </c>
      <c r="S260" s="11"/>
      <c r="T260" s="9"/>
      <c r="U260" s="10"/>
      <c r="V260" s="11"/>
      <c r="W260" s="11"/>
      <c r="X260" s="11"/>
      <c r="Y260" s="12" t="str">
        <f aca="false">IF(COUNT(V260:X260)=0,"",MAX(0,1-SUM(V260:X260)))</f>
        <v/>
      </c>
      <c r="Z260" s="13"/>
      <c r="AA260" s="9"/>
      <c r="AB260" s="7"/>
      <c r="AC260" s="7"/>
      <c r="AD260" s="7"/>
      <c r="AE260" s="7"/>
      <c r="AF260" s="14" t="str">
        <f aca="false">IF(D260="","",COUNTIF($D$2:D260,D260))</f>
        <v/>
      </c>
      <c r="AG260" s="15" t="str">
        <f aca="false" t="array" ref="AG260:AG260">IF(D260="","",IFERROR(MEDIAN(IF(($D$2:$D$401=D260)*($AF$2:$AF$401&gt;=AF260-5)*($AF$2:$AF$401&lt;=AF260-1)*($M$2:$M$401&lt;&gt;""),$M$2:$M$401)),""))</f>
        <v/>
      </c>
      <c r="AH260" s="16" t="str">
        <f aca="false">IF(AND(ISNUMBER(M260),ISNUMBER(AG260)),IF(AG260&gt;0,M260/AG260,""),"")</f>
        <v/>
      </c>
      <c r="AI260" s="15" t="str">
        <f aca="false" t="array" ref="AI260:AI260">IF(D260="","",IFERROR(MEDIAN(IF(($D$2:$D$401=D260)*($AF$2:$AF$401&gt;=AF260-5)*($AF$2:$AF$401&lt;=AF260-1)*($N$2:$N$401&lt;&gt;""),$N$2:$N$401)),""))</f>
        <v/>
      </c>
      <c r="AJ260" s="16" t="str">
        <f aca="false">IF(AND(ISNUMBER(N260),ISNUMBER(AI260)),IF(AI260&gt;0,N260/AI260,""),"")</f>
        <v/>
      </c>
      <c r="AK260" s="12" t="str">
        <f aca="false" t="array" ref="AK260:AK260">IF(D260="","",IFERROR(MEDIAN(IF(($D$2:$D$401=D260)*ISNUMBER($R$2:$R$401),$R$2:$R$401)),""))</f>
        <v/>
      </c>
      <c r="AL260" s="17" t="str">
        <f aca="false">IF(ISNUMBER(AJ260),IF(AND(AJ260&gt;=Resumen!$C$5,OR(NOT(ISNUMBER(R260)),NOT(ISNUMBER(AK260)),R260&gt;=AK260)),"Ganador",IF(AJ260&lt;=Resumen!$C$6,"Perdedor","Normal")),IF(ISNUMBER(AH260),IF(AH260&gt;=Resumen!$C$5,"Ganador (7 d, provisional)",IF(AH260&lt;=Resumen!$C$6,"Perdedor (7 d, provisional)","Normal (7 d, provisional)")),""))</f>
        <v/>
      </c>
      <c r="AM260" s="18" t="str">
        <f aca="false">IF(AND(ISNUMBER(Z260),ISNUMBER(N260)),IF(N260&gt;0,Z260/N260*1000,""),"")</f>
        <v/>
      </c>
      <c r="AN260" s="19" t="str">
        <f aca="false">IF(AND(ISNUMBER(U260),ISNUMBER(N260)),IF(N260&gt;0,U260/N260*1000,""),"")</f>
        <v/>
      </c>
    </row>
    <row r="261" customFormat="false" ht="15" hidden="false" customHeight="false" outlineLevel="0" collapsed="false">
      <c r="A261" s="7"/>
      <c r="B261" s="7"/>
      <c r="C261" s="8"/>
      <c r="D261" s="7"/>
      <c r="E261" s="7"/>
      <c r="F261" s="7"/>
      <c r="G261" s="7"/>
      <c r="H261" s="7"/>
      <c r="I261" s="7"/>
      <c r="J261" s="7"/>
      <c r="K261" s="9"/>
      <c r="L261" s="10"/>
      <c r="M261" s="10"/>
      <c r="N261" s="10"/>
      <c r="O261" s="10"/>
      <c r="P261" s="11"/>
      <c r="Q261" s="9"/>
      <c r="R261" s="12" t="str">
        <f aca="false">IF(AND(ISNUMBER(K261),ISNUMBER(Q261),K261&gt;0),Q261/K261,"")</f>
        <v/>
      </c>
      <c r="S261" s="11"/>
      <c r="T261" s="9"/>
      <c r="U261" s="10"/>
      <c r="V261" s="11"/>
      <c r="W261" s="11"/>
      <c r="X261" s="11"/>
      <c r="Y261" s="12" t="str">
        <f aca="false">IF(COUNT(V261:X261)=0,"",MAX(0,1-SUM(V261:X261)))</f>
        <v/>
      </c>
      <c r="Z261" s="13"/>
      <c r="AA261" s="9"/>
      <c r="AB261" s="7"/>
      <c r="AC261" s="7"/>
      <c r="AD261" s="7"/>
      <c r="AE261" s="7"/>
      <c r="AF261" s="14" t="str">
        <f aca="false">IF(D261="","",COUNTIF($D$2:D261,D261))</f>
        <v/>
      </c>
      <c r="AG261" s="15" t="str">
        <f aca="false" t="array" ref="AG261:AG261">IF(D261="","",IFERROR(MEDIAN(IF(($D$2:$D$401=D261)*($AF$2:$AF$401&gt;=AF261-5)*($AF$2:$AF$401&lt;=AF261-1)*($M$2:$M$401&lt;&gt;""),$M$2:$M$401)),""))</f>
        <v/>
      </c>
      <c r="AH261" s="16" t="str">
        <f aca="false">IF(AND(ISNUMBER(M261),ISNUMBER(AG261)),IF(AG261&gt;0,M261/AG261,""),"")</f>
        <v/>
      </c>
      <c r="AI261" s="15" t="str">
        <f aca="false" t="array" ref="AI261:AI261">IF(D261="","",IFERROR(MEDIAN(IF(($D$2:$D$401=D261)*($AF$2:$AF$401&gt;=AF261-5)*($AF$2:$AF$401&lt;=AF261-1)*($N$2:$N$401&lt;&gt;""),$N$2:$N$401)),""))</f>
        <v/>
      </c>
      <c r="AJ261" s="16" t="str">
        <f aca="false">IF(AND(ISNUMBER(N261),ISNUMBER(AI261)),IF(AI261&gt;0,N261/AI261,""),"")</f>
        <v/>
      </c>
      <c r="AK261" s="12" t="str">
        <f aca="false" t="array" ref="AK261:AK261">IF(D261="","",IFERROR(MEDIAN(IF(($D$2:$D$401=D261)*ISNUMBER($R$2:$R$401),$R$2:$R$401)),""))</f>
        <v/>
      </c>
      <c r="AL261" s="17" t="str">
        <f aca="false">IF(ISNUMBER(AJ261),IF(AND(AJ261&gt;=Resumen!$C$5,OR(NOT(ISNUMBER(R261)),NOT(ISNUMBER(AK261)),R261&gt;=AK261)),"Ganador",IF(AJ261&lt;=Resumen!$C$6,"Perdedor","Normal")),IF(ISNUMBER(AH261),IF(AH261&gt;=Resumen!$C$5,"Ganador (7 d, provisional)",IF(AH261&lt;=Resumen!$C$6,"Perdedor (7 d, provisional)","Normal (7 d, provisional)")),""))</f>
        <v/>
      </c>
      <c r="AM261" s="18" t="str">
        <f aca="false">IF(AND(ISNUMBER(Z261),ISNUMBER(N261)),IF(N261&gt;0,Z261/N261*1000,""),"")</f>
        <v/>
      </c>
      <c r="AN261" s="19" t="str">
        <f aca="false">IF(AND(ISNUMBER(U261),ISNUMBER(N261)),IF(N261&gt;0,U261/N261*1000,""),"")</f>
        <v/>
      </c>
    </row>
    <row r="262" customFormat="false" ht="15" hidden="false" customHeight="false" outlineLevel="0" collapsed="false">
      <c r="A262" s="7"/>
      <c r="B262" s="7"/>
      <c r="C262" s="8"/>
      <c r="D262" s="7"/>
      <c r="E262" s="7"/>
      <c r="F262" s="7"/>
      <c r="G262" s="7"/>
      <c r="H262" s="7"/>
      <c r="I262" s="7"/>
      <c r="J262" s="7"/>
      <c r="K262" s="9"/>
      <c r="L262" s="10"/>
      <c r="M262" s="10"/>
      <c r="N262" s="10"/>
      <c r="O262" s="10"/>
      <c r="P262" s="11"/>
      <c r="Q262" s="9"/>
      <c r="R262" s="12" t="str">
        <f aca="false">IF(AND(ISNUMBER(K262),ISNUMBER(Q262),K262&gt;0),Q262/K262,"")</f>
        <v/>
      </c>
      <c r="S262" s="11"/>
      <c r="T262" s="9"/>
      <c r="U262" s="10"/>
      <c r="V262" s="11"/>
      <c r="W262" s="11"/>
      <c r="X262" s="11"/>
      <c r="Y262" s="12" t="str">
        <f aca="false">IF(COUNT(V262:X262)=0,"",MAX(0,1-SUM(V262:X262)))</f>
        <v/>
      </c>
      <c r="Z262" s="13"/>
      <c r="AA262" s="9"/>
      <c r="AB262" s="7"/>
      <c r="AC262" s="7"/>
      <c r="AD262" s="7"/>
      <c r="AE262" s="7"/>
      <c r="AF262" s="14" t="str">
        <f aca="false">IF(D262="","",COUNTIF($D$2:D262,D262))</f>
        <v/>
      </c>
      <c r="AG262" s="15" t="str">
        <f aca="false" t="array" ref="AG262:AG262">IF(D262="","",IFERROR(MEDIAN(IF(($D$2:$D$401=D262)*($AF$2:$AF$401&gt;=AF262-5)*($AF$2:$AF$401&lt;=AF262-1)*($M$2:$M$401&lt;&gt;""),$M$2:$M$401)),""))</f>
        <v/>
      </c>
      <c r="AH262" s="16" t="str">
        <f aca="false">IF(AND(ISNUMBER(M262),ISNUMBER(AG262)),IF(AG262&gt;0,M262/AG262,""),"")</f>
        <v/>
      </c>
      <c r="AI262" s="15" t="str">
        <f aca="false" t="array" ref="AI262:AI262">IF(D262="","",IFERROR(MEDIAN(IF(($D$2:$D$401=D262)*($AF$2:$AF$401&gt;=AF262-5)*($AF$2:$AF$401&lt;=AF262-1)*($N$2:$N$401&lt;&gt;""),$N$2:$N$401)),""))</f>
        <v/>
      </c>
      <c r="AJ262" s="16" t="str">
        <f aca="false">IF(AND(ISNUMBER(N262),ISNUMBER(AI262)),IF(AI262&gt;0,N262/AI262,""),"")</f>
        <v/>
      </c>
      <c r="AK262" s="12" t="str">
        <f aca="false" t="array" ref="AK262:AK262">IF(D262="","",IFERROR(MEDIAN(IF(($D$2:$D$401=D262)*ISNUMBER($R$2:$R$401),$R$2:$R$401)),""))</f>
        <v/>
      </c>
      <c r="AL262" s="17" t="str">
        <f aca="false">IF(ISNUMBER(AJ262),IF(AND(AJ262&gt;=Resumen!$C$5,OR(NOT(ISNUMBER(R262)),NOT(ISNUMBER(AK262)),R262&gt;=AK262)),"Ganador",IF(AJ262&lt;=Resumen!$C$6,"Perdedor","Normal")),IF(ISNUMBER(AH262),IF(AH262&gt;=Resumen!$C$5,"Ganador (7 d, provisional)",IF(AH262&lt;=Resumen!$C$6,"Perdedor (7 d, provisional)","Normal (7 d, provisional)")),""))</f>
        <v/>
      </c>
      <c r="AM262" s="18" t="str">
        <f aca="false">IF(AND(ISNUMBER(Z262),ISNUMBER(N262)),IF(N262&gt;0,Z262/N262*1000,""),"")</f>
        <v/>
      </c>
      <c r="AN262" s="19" t="str">
        <f aca="false">IF(AND(ISNUMBER(U262),ISNUMBER(N262)),IF(N262&gt;0,U262/N262*1000,""),"")</f>
        <v/>
      </c>
    </row>
    <row r="263" customFormat="false" ht="15" hidden="false" customHeight="false" outlineLevel="0" collapsed="false">
      <c r="A263" s="7"/>
      <c r="B263" s="7"/>
      <c r="C263" s="8"/>
      <c r="D263" s="7"/>
      <c r="E263" s="7"/>
      <c r="F263" s="7"/>
      <c r="G263" s="7"/>
      <c r="H263" s="7"/>
      <c r="I263" s="7"/>
      <c r="J263" s="7"/>
      <c r="K263" s="9"/>
      <c r="L263" s="10"/>
      <c r="M263" s="10"/>
      <c r="N263" s="10"/>
      <c r="O263" s="10"/>
      <c r="P263" s="11"/>
      <c r="Q263" s="9"/>
      <c r="R263" s="12" t="str">
        <f aca="false">IF(AND(ISNUMBER(K263),ISNUMBER(Q263),K263&gt;0),Q263/K263,"")</f>
        <v/>
      </c>
      <c r="S263" s="11"/>
      <c r="T263" s="9"/>
      <c r="U263" s="10"/>
      <c r="V263" s="11"/>
      <c r="W263" s="11"/>
      <c r="X263" s="11"/>
      <c r="Y263" s="12" t="str">
        <f aca="false">IF(COUNT(V263:X263)=0,"",MAX(0,1-SUM(V263:X263)))</f>
        <v/>
      </c>
      <c r="Z263" s="13"/>
      <c r="AA263" s="9"/>
      <c r="AB263" s="7"/>
      <c r="AC263" s="7"/>
      <c r="AD263" s="7"/>
      <c r="AE263" s="7"/>
      <c r="AF263" s="14" t="str">
        <f aca="false">IF(D263="","",COUNTIF($D$2:D263,D263))</f>
        <v/>
      </c>
      <c r="AG263" s="15" t="str">
        <f aca="false" t="array" ref="AG263:AG263">IF(D263="","",IFERROR(MEDIAN(IF(($D$2:$D$401=D263)*($AF$2:$AF$401&gt;=AF263-5)*($AF$2:$AF$401&lt;=AF263-1)*($M$2:$M$401&lt;&gt;""),$M$2:$M$401)),""))</f>
        <v/>
      </c>
      <c r="AH263" s="16" t="str">
        <f aca="false">IF(AND(ISNUMBER(M263),ISNUMBER(AG263)),IF(AG263&gt;0,M263/AG263,""),"")</f>
        <v/>
      </c>
      <c r="AI263" s="15" t="str">
        <f aca="false" t="array" ref="AI263:AI263">IF(D263="","",IFERROR(MEDIAN(IF(($D$2:$D$401=D263)*($AF$2:$AF$401&gt;=AF263-5)*($AF$2:$AF$401&lt;=AF263-1)*($N$2:$N$401&lt;&gt;""),$N$2:$N$401)),""))</f>
        <v/>
      </c>
      <c r="AJ263" s="16" t="str">
        <f aca="false">IF(AND(ISNUMBER(N263),ISNUMBER(AI263)),IF(AI263&gt;0,N263/AI263,""),"")</f>
        <v/>
      </c>
      <c r="AK263" s="12" t="str">
        <f aca="false" t="array" ref="AK263:AK263">IF(D263="","",IFERROR(MEDIAN(IF(($D$2:$D$401=D263)*ISNUMBER($R$2:$R$401),$R$2:$R$401)),""))</f>
        <v/>
      </c>
      <c r="AL263" s="17" t="str">
        <f aca="false">IF(ISNUMBER(AJ263),IF(AND(AJ263&gt;=Resumen!$C$5,OR(NOT(ISNUMBER(R263)),NOT(ISNUMBER(AK263)),R263&gt;=AK263)),"Ganador",IF(AJ263&lt;=Resumen!$C$6,"Perdedor","Normal")),IF(ISNUMBER(AH263),IF(AH263&gt;=Resumen!$C$5,"Ganador (7 d, provisional)",IF(AH263&lt;=Resumen!$C$6,"Perdedor (7 d, provisional)","Normal (7 d, provisional)")),""))</f>
        <v/>
      </c>
      <c r="AM263" s="18" t="str">
        <f aca="false">IF(AND(ISNUMBER(Z263),ISNUMBER(N263)),IF(N263&gt;0,Z263/N263*1000,""),"")</f>
        <v/>
      </c>
      <c r="AN263" s="19" t="str">
        <f aca="false">IF(AND(ISNUMBER(U263),ISNUMBER(N263)),IF(N263&gt;0,U263/N263*1000,""),"")</f>
        <v/>
      </c>
    </row>
    <row r="264" customFormat="false" ht="15" hidden="false" customHeight="false" outlineLevel="0" collapsed="false">
      <c r="A264" s="7"/>
      <c r="B264" s="7"/>
      <c r="C264" s="8"/>
      <c r="D264" s="7"/>
      <c r="E264" s="7"/>
      <c r="F264" s="7"/>
      <c r="G264" s="7"/>
      <c r="H264" s="7"/>
      <c r="I264" s="7"/>
      <c r="J264" s="7"/>
      <c r="K264" s="9"/>
      <c r="L264" s="10"/>
      <c r="M264" s="10"/>
      <c r="N264" s="10"/>
      <c r="O264" s="10"/>
      <c r="P264" s="11"/>
      <c r="Q264" s="9"/>
      <c r="R264" s="12" t="str">
        <f aca="false">IF(AND(ISNUMBER(K264),ISNUMBER(Q264),K264&gt;0),Q264/K264,"")</f>
        <v/>
      </c>
      <c r="S264" s="11"/>
      <c r="T264" s="9"/>
      <c r="U264" s="10"/>
      <c r="V264" s="11"/>
      <c r="W264" s="11"/>
      <c r="X264" s="11"/>
      <c r="Y264" s="12" t="str">
        <f aca="false">IF(COUNT(V264:X264)=0,"",MAX(0,1-SUM(V264:X264)))</f>
        <v/>
      </c>
      <c r="Z264" s="13"/>
      <c r="AA264" s="9"/>
      <c r="AB264" s="7"/>
      <c r="AC264" s="7"/>
      <c r="AD264" s="7"/>
      <c r="AE264" s="7"/>
      <c r="AF264" s="14" t="str">
        <f aca="false">IF(D264="","",COUNTIF($D$2:D264,D264))</f>
        <v/>
      </c>
      <c r="AG264" s="15" t="str">
        <f aca="false" t="array" ref="AG264:AG264">IF(D264="","",IFERROR(MEDIAN(IF(($D$2:$D$401=D264)*($AF$2:$AF$401&gt;=AF264-5)*($AF$2:$AF$401&lt;=AF264-1)*($M$2:$M$401&lt;&gt;""),$M$2:$M$401)),""))</f>
        <v/>
      </c>
      <c r="AH264" s="16" t="str">
        <f aca="false">IF(AND(ISNUMBER(M264),ISNUMBER(AG264)),IF(AG264&gt;0,M264/AG264,""),"")</f>
        <v/>
      </c>
      <c r="AI264" s="15" t="str">
        <f aca="false" t="array" ref="AI264:AI264">IF(D264="","",IFERROR(MEDIAN(IF(($D$2:$D$401=D264)*($AF$2:$AF$401&gt;=AF264-5)*($AF$2:$AF$401&lt;=AF264-1)*($N$2:$N$401&lt;&gt;""),$N$2:$N$401)),""))</f>
        <v/>
      </c>
      <c r="AJ264" s="16" t="str">
        <f aca="false">IF(AND(ISNUMBER(N264),ISNUMBER(AI264)),IF(AI264&gt;0,N264/AI264,""),"")</f>
        <v/>
      </c>
      <c r="AK264" s="12" t="str">
        <f aca="false" t="array" ref="AK264:AK264">IF(D264="","",IFERROR(MEDIAN(IF(($D$2:$D$401=D264)*ISNUMBER($R$2:$R$401),$R$2:$R$401)),""))</f>
        <v/>
      </c>
      <c r="AL264" s="17" t="str">
        <f aca="false">IF(ISNUMBER(AJ264),IF(AND(AJ264&gt;=Resumen!$C$5,OR(NOT(ISNUMBER(R264)),NOT(ISNUMBER(AK264)),R264&gt;=AK264)),"Ganador",IF(AJ264&lt;=Resumen!$C$6,"Perdedor","Normal")),IF(ISNUMBER(AH264),IF(AH264&gt;=Resumen!$C$5,"Ganador (7 d, provisional)",IF(AH264&lt;=Resumen!$C$6,"Perdedor (7 d, provisional)","Normal (7 d, provisional)")),""))</f>
        <v/>
      </c>
      <c r="AM264" s="18" t="str">
        <f aca="false">IF(AND(ISNUMBER(Z264),ISNUMBER(N264)),IF(N264&gt;0,Z264/N264*1000,""),"")</f>
        <v/>
      </c>
      <c r="AN264" s="19" t="str">
        <f aca="false">IF(AND(ISNUMBER(U264),ISNUMBER(N264)),IF(N264&gt;0,U264/N264*1000,""),"")</f>
        <v/>
      </c>
    </row>
    <row r="265" customFormat="false" ht="15" hidden="false" customHeight="false" outlineLevel="0" collapsed="false">
      <c r="A265" s="7"/>
      <c r="B265" s="7"/>
      <c r="C265" s="8"/>
      <c r="D265" s="7"/>
      <c r="E265" s="7"/>
      <c r="F265" s="7"/>
      <c r="G265" s="7"/>
      <c r="H265" s="7"/>
      <c r="I265" s="7"/>
      <c r="J265" s="7"/>
      <c r="K265" s="9"/>
      <c r="L265" s="10"/>
      <c r="M265" s="10"/>
      <c r="N265" s="10"/>
      <c r="O265" s="10"/>
      <c r="P265" s="11"/>
      <c r="Q265" s="9"/>
      <c r="R265" s="12" t="str">
        <f aca="false">IF(AND(ISNUMBER(K265),ISNUMBER(Q265),K265&gt;0),Q265/K265,"")</f>
        <v/>
      </c>
      <c r="S265" s="11"/>
      <c r="T265" s="9"/>
      <c r="U265" s="10"/>
      <c r="V265" s="11"/>
      <c r="W265" s="11"/>
      <c r="X265" s="11"/>
      <c r="Y265" s="12" t="str">
        <f aca="false">IF(COUNT(V265:X265)=0,"",MAX(0,1-SUM(V265:X265)))</f>
        <v/>
      </c>
      <c r="Z265" s="13"/>
      <c r="AA265" s="9"/>
      <c r="AB265" s="7"/>
      <c r="AC265" s="7"/>
      <c r="AD265" s="7"/>
      <c r="AE265" s="7"/>
      <c r="AF265" s="14" t="str">
        <f aca="false">IF(D265="","",COUNTIF($D$2:D265,D265))</f>
        <v/>
      </c>
      <c r="AG265" s="15" t="str">
        <f aca="false" t="array" ref="AG265:AG265">IF(D265="","",IFERROR(MEDIAN(IF(($D$2:$D$401=D265)*($AF$2:$AF$401&gt;=AF265-5)*($AF$2:$AF$401&lt;=AF265-1)*($M$2:$M$401&lt;&gt;""),$M$2:$M$401)),""))</f>
        <v/>
      </c>
      <c r="AH265" s="16" t="str">
        <f aca="false">IF(AND(ISNUMBER(M265),ISNUMBER(AG265)),IF(AG265&gt;0,M265/AG265,""),"")</f>
        <v/>
      </c>
      <c r="AI265" s="15" t="str">
        <f aca="false" t="array" ref="AI265:AI265">IF(D265="","",IFERROR(MEDIAN(IF(($D$2:$D$401=D265)*($AF$2:$AF$401&gt;=AF265-5)*($AF$2:$AF$401&lt;=AF265-1)*($N$2:$N$401&lt;&gt;""),$N$2:$N$401)),""))</f>
        <v/>
      </c>
      <c r="AJ265" s="16" t="str">
        <f aca="false">IF(AND(ISNUMBER(N265),ISNUMBER(AI265)),IF(AI265&gt;0,N265/AI265,""),"")</f>
        <v/>
      </c>
      <c r="AK265" s="12" t="str">
        <f aca="false" t="array" ref="AK265:AK265">IF(D265="","",IFERROR(MEDIAN(IF(($D$2:$D$401=D265)*ISNUMBER($R$2:$R$401),$R$2:$R$401)),""))</f>
        <v/>
      </c>
      <c r="AL265" s="17" t="str">
        <f aca="false">IF(ISNUMBER(AJ265),IF(AND(AJ265&gt;=Resumen!$C$5,OR(NOT(ISNUMBER(R265)),NOT(ISNUMBER(AK265)),R265&gt;=AK265)),"Ganador",IF(AJ265&lt;=Resumen!$C$6,"Perdedor","Normal")),IF(ISNUMBER(AH265),IF(AH265&gt;=Resumen!$C$5,"Ganador (7 d, provisional)",IF(AH265&lt;=Resumen!$C$6,"Perdedor (7 d, provisional)","Normal (7 d, provisional)")),""))</f>
        <v/>
      </c>
      <c r="AM265" s="18" t="str">
        <f aca="false">IF(AND(ISNUMBER(Z265),ISNUMBER(N265)),IF(N265&gt;0,Z265/N265*1000,""),"")</f>
        <v/>
      </c>
      <c r="AN265" s="19" t="str">
        <f aca="false">IF(AND(ISNUMBER(U265),ISNUMBER(N265)),IF(N265&gt;0,U265/N265*1000,""),"")</f>
        <v/>
      </c>
    </row>
    <row r="266" customFormat="false" ht="15" hidden="false" customHeight="false" outlineLevel="0" collapsed="false">
      <c r="A266" s="7"/>
      <c r="B266" s="7"/>
      <c r="C266" s="8"/>
      <c r="D266" s="7"/>
      <c r="E266" s="7"/>
      <c r="F266" s="7"/>
      <c r="G266" s="7"/>
      <c r="H266" s="7"/>
      <c r="I266" s="7"/>
      <c r="J266" s="7"/>
      <c r="K266" s="9"/>
      <c r="L266" s="10"/>
      <c r="M266" s="10"/>
      <c r="N266" s="10"/>
      <c r="O266" s="10"/>
      <c r="P266" s="11"/>
      <c r="Q266" s="9"/>
      <c r="R266" s="12" t="str">
        <f aca="false">IF(AND(ISNUMBER(K266),ISNUMBER(Q266),K266&gt;0),Q266/K266,"")</f>
        <v/>
      </c>
      <c r="S266" s="11"/>
      <c r="T266" s="9"/>
      <c r="U266" s="10"/>
      <c r="V266" s="11"/>
      <c r="W266" s="11"/>
      <c r="X266" s="11"/>
      <c r="Y266" s="12" t="str">
        <f aca="false">IF(COUNT(V266:X266)=0,"",MAX(0,1-SUM(V266:X266)))</f>
        <v/>
      </c>
      <c r="Z266" s="13"/>
      <c r="AA266" s="9"/>
      <c r="AB266" s="7"/>
      <c r="AC266" s="7"/>
      <c r="AD266" s="7"/>
      <c r="AE266" s="7"/>
      <c r="AF266" s="14" t="str">
        <f aca="false">IF(D266="","",COUNTIF($D$2:D266,D266))</f>
        <v/>
      </c>
      <c r="AG266" s="15" t="str">
        <f aca="false" t="array" ref="AG266:AG266">IF(D266="","",IFERROR(MEDIAN(IF(($D$2:$D$401=D266)*($AF$2:$AF$401&gt;=AF266-5)*($AF$2:$AF$401&lt;=AF266-1)*($M$2:$M$401&lt;&gt;""),$M$2:$M$401)),""))</f>
        <v/>
      </c>
      <c r="AH266" s="16" t="str">
        <f aca="false">IF(AND(ISNUMBER(M266),ISNUMBER(AG266)),IF(AG266&gt;0,M266/AG266,""),"")</f>
        <v/>
      </c>
      <c r="AI266" s="15" t="str">
        <f aca="false" t="array" ref="AI266:AI266">IF(D266="","",IFERROR(MEDIAN(IF(($D$2:$D$401=D266)*($AF$2:$AF$401&gt;=AF266-5)*($AF$2:$AF$401&lt;=AF266-1)*($N$2:$N$401&lt;&gt;""),$N$2:$N$401)),""))</f>
        <v/>
      </c>
      <c r="AJ266" s="16" t="str">
        <f aca="false">IF(AND(ISNUMBER(N266),ISNUMBER(AI266)),IF(AI266&gt;0,N266/AI266,""),"")</f>
        <v/>
      </c>
      <c r="AK266" s="12" t="str">
        <f aca="false" t="array" ref="AK266:AK266">IF(D266="","",IFERROR(MEDIAN(IF(($D$2:$D$401=D266)*ISNUMBER($R$2:$R$401),$R$2:$R$401)),""))</f>
        <v/>
      </c>
      <c r="AL266" s="17" t="str">
        <f aca="false">IF(ISNUMBER(AJ266),IF(AND(AJ266&gt;=Resumen!$C$5,OR(NOT(ISNUMBER(R266)),NOT(ISNUMBER(AK266)),R266&gt;=AK266)),"Ganador",IF(AJ266&lt;=Resumen!$C$6,"Perdedor","Normal")),IF(ISNUMBER(AH266),IF(AH266&gt;=Resumen!$C$5,"Ganador (7 d, provisional)",IF(AH266&lt;=Resumen!$C$6,"Perdedor (7 d, provisional)","Normal (7 d, provisional)")),""))</f>
        <v/>
      </c>
      <c r="AM266" s="18" t="str">
        <f aca="false">IF(AND(ISNUMBER(Z266),ISNUMBER(N266)),IF(N266&gt;0,Z266/N266*1000,""),"")</f>
        <v/>
      </c>
      <c r="AN266" s="19" t="str">
        <f aca="false">IF(AND(ISNUMBER(U266),ISNUMBER(N266)),IF(N266&gt;0,U266/N266*1000,""),"")</f>
        <v/>
      </c>
    </row>
    <row r="267" customFormat="false" ht="15" hidden="false" customHeight="false" outlineLevel="0" collapsed="false">
      <c r="A267" s="7"/>
      <c r="B267" s="7"/>
      <c r="C267" s="8"/>
      <c r="D267" s="7"/>
      <c r="E267" s="7"/>
      <c r="F267" s="7"/>
      <c r="G267" s="7"/>
      <c r="H267" s="7"/>
      <c r="I267" s="7"/>
      <c r="J267" s="7"/>
      <c r="K267" s="9"/>
      <c r="L267" s="10"/>
      <c r="M267" s="10"/>
      <c r="N267" s="10"/>
      <c r="O267" s="10"/>
      <c r="P267" s="11"/>
      <c r="Q267" s="9"/>
      <c r="R267" s="12" t="str">
        <f aca="false">IF(AND(ISNUMBER(K267),ISNUMBER(Q267),K267&gt;0),Q267/K267,"")</f>
        <v/>
      </c>
      <c r="S267" s="11"/>
      <c r="T267" s="9"/>
      <c r="U267" s="10"/>
      <c r="V267" s="11"/>
      <c r="W267" s="11"/>
      <c r="X267" s="11"/>
      <c r="Y267" s="12" t="str">
        <f aca="false">IF(COUNT(V267:X267)=0,"",MAX(0,1-SUM(V267:X267)))</f>
        <v/>
      </c>
      <c r="Z267" s="13"/>
      <c r="AA267" s="9"/>
      <c r="AB267" s="7"/>
      <c r="AC267" s="7"/>
      <c r="AD267" s="7"/>
      <c r="AE267" s="7"/>
      <c r="AF267" s="14" t="str">
        <f aca="false">IF(D267="","",COUNTIF($D$2:D267,D267))</f>
        <v/>
      </c>
      <c r="AG267" s="15" t="str">
        <f aca="false" t="array" ref="AG267:AG267">IF(D267="","",IFERROR(MEDIAN(IF(($D$2:$D$401=D267)*($AF$2:$AF$401&gt;=AF267-5)*($AF$2:$AF$401&lt;=AF267-1)*($M$2:$M$401&lt;&gt;""),$M$2:$M$401)),""))</f>
        <v/>
      </c>
      <c r="AH267" s="16" t="str">
        <f aca="false">IF(AND(ISNUMBER(M267),ISNUMBER(AG267)),IF(AG267&gt;0,M267/AG267,""),"")</f>
        <v/>
      </c>
      <c r="AI267" s="15" t="str">
        <f aca="false" t="array" ref="AI267:AI267">IF(D267="","",IFERROR(MEDIAN(IF(($D$2:$D$401=D267)*($AF$2:$AF$401&gt;=AF267-5)*($AF$2:$AF$401&lt;=AF267-1)*($N$2:$N$401&lt;&gt;""),$N$2:$N$401)),""))</f>
        <v/>
      </c>
      <c r="AJ267" s="16" t="str">
        <f aca="false">IF(AND(ISNUMBER(N267),ISNUMBER(AI267)),IF(AI267&gt;0,N267/AI267,""),"")</f>
        <v/>
      </c>
      <c r="AK267" s="12" t="str">
        <f aca="false" t="array" ref="AK267:AK267">IF(D267="","",IFERROR(MEDIAN(IF(($D$2:$D$401=D267)*ISNUMBER($R$2:$R$401),$R$2:$R$401)),""))</f>
        <v/>
      </c>
      <c r="AL267" s="17" t="str">
        <f aca="false">IF(ISNUMBER(AJ267),IF(AND(AJ267&gt;=Resumen!$C$5,OR(NOT(ISNUMBER(R267)),NOT(ISNUMBER(AK267)),R267&gt;=AK267)),"Ganador",IF(AJ267&lt;=Resumen!$C$6,"Perdedor","Normal")),IF(ISNUMBER(AH267),IF(AH267&gt;=Resumen!$C$5,"Ganador (7 d, provisional)",IF(AH267&lt;=Resumen!$C$6,"Perdedor (7 d, provisional)","Normal (7 d, provisional)")),""))</f>
        <v/>
      </c>
      <c r="AM267" s="18" t="str">
        <f aca="false">IF(AND(ISNUMBER(Z267),ISNUMBER(N267)),IF(N267&gt;0,Z267/N267*1000,""),"")</f>
        <v/>
      </c>
      <c r="AN267" s="19" t="str">
        <f aca="false">IF(AND(ISNUMBER(U267),ISNUMBER(N267)),IF(N267&gt;0,U267/N267*1000,""),"")</f>
        <v/>
      </c>
    </row>
    <row r="268" customFormat="false" ht="15" hidden="false" customHeight="false" outlineLevel="0" collapsed="false">
      <c r="A268" s="7"/>
      <c r="B268" s="7"/>
      <c r="C268" s="8"/>
      <c r="D268" s="7"/>
      <c r="E268" s="7"/>
      <c r="F268" s="7"/>
      <c r="G268" s="7"/>
      <c r="H268" s="7"/>
      <c r="I268" s="7"/>
      <c r="J268" s="7"/>
      <c r="K268" s="9"/>
      <c r="L268" s="10"/>
      <c r="M268" s="10"/>
      <c r="N268" s="10"/>
      <c r="O268" s="10"/>
      <c r="P268" s="11"/>
      <c r="Q268" s="9"/>
      <c r="R268" s="12" t="str">
        <f aca="false">IF(AND(ISNUMBER(K268),ISNUMBER(Q268),K268&gt;0),Q268/K268,"")</f>
        <v/>
      </c>
      <c r="S268" s="11"/>
      <c r="T268" s="9"/>
      <c r="U268" s="10"/>
      <c r="V268" s="11"/>
      <c r="W268" s="11"/>
      <c r="X268" s="11"/>
      <c r="Y268" s="12" t="str">
        <f aca="false">IF(COUNT(V268:X268)=0,"",MAX(0,1-SUM(V268:X268)))</f>
        <v/>
      </c>
      <c r="Z268" s="13"/>
      <c r="AA268" s="9"/>
      <c r="AB268" s="7"/>
      <c r="AC268" s="7"/>
      <c r="AD268" s="7"/>
      <c r="AE268" s="7"/>
      <c r="AF268" s="14" t="str">
        <f aca="false">IF(D268="","",COUNTIF($D$2:D268,D268))</f>
        <v/>
      </c>
      <c r="AG268" s="15" t="str">
        <f aca="false" t="array" ref="AG268:AG268">IF(D268="","",IFERROR(MEDIAN(IF(($D$2:$D$401=D268)*($AF$2:$AF$401&gt;=AF268-5)*($AF$2:$AF$401&lt;=AF268-1)*($M$2:$M$401&lt;&gt;""),$M$2:$M$401)),""))</f>
        <v/>
      </c>
      <c r="AH268" s="16" t="str">
        <f aca="false">IF(AND(ISNUMBER(M268),ISNUMBER(AG268)),IF(AG268&gt;0,M268/AG268,""),"")</f>
        <v/>
      </c>
      <c r="AI268" s="15" t="str">
        <f aca="false" t="array" ref="AI268:AI268">IF(D268="","",IFERROR(MEDIAN(IF(($D$2:$D$401=D268)*($AF$2:$AF$401&gt;=AF268-5)*($AF$2:$AF$401&lt;=AF268-1)*($N$2:$N$401&lt;&gt;""),$N$2:$N$401)),""))</f>
        <v/>
      </c>
      <c r="AJ268" s="16" t="str">
        <f aca="false">IF(AND(ISNUMBER(N268),ISNUMBER(AI268)),IF(AI268&gt;0,N268/AI268,""),"")</f>
        <v/>
      </c>
      <c r="AK268" s="12" t="str">
        <f aca="false" t="array" ref="AK268:AK268">IF(D268="","",IFERROR(MEDIAN(IF(($D$2:$D$401=D268)*ISNUMBER($R$2:$R$401),$R$2:$R$401)),""))</f>
        <v/>
      </c>
      <c r="AL268" s="17" t="str">
        <f aca="false">IF(ISNUMBER(AJ268),IF(AND(AJ268&gt;=Resumen!$C$5,OR(NOT(ISNUMBER(R268)),NOT(ISNUMBER(AK268)),R268&gt;=AK268)),"Ganador",IF(AJ268&lt;=Resumen!$C$6,"Perdedor","Normal")),IF(ISNUMBER(AH268),IF(AH268&gt;=Resumen!$C$5,"Ganador (7 d, provisional)",IF(AH268&lt;=Resumen!$C$6,"Perdedor (7 d, provisional)","Normal (7 d, provisional)")),""))</f>
        <v/>
      </c>
      <c r="AM268" s="18" t="str">
        <f aca="false">IF(AND(ISNUMBER(Z268),ISNUMBER(N268)),IF(N268&gt;0,Z268/N268*1000,""),"")</f>
        <v/>
      </c>
      <c r="AN268" s="19" t="str">
        <f aca="false">IF(AND(ISNUMBER(U268),ISNUMBER(N268)),IF(N268&gt;0,U268/N268*1000,""),"")</f>
        <v/>
      </c>
    </row>
    <row r="269" customFormat="false" ht="15" hidden="false" customHeight="false" outlineLevel="0" collapsed="false">
      <c r="A269" s="7"/>
      <c r="B269" s="7"/>
      <c r="C269" s="8"/>
      <c r="D269" s="7"/>
      <c r="E269" s="7"/>
      <c r="F269" s="7"/>
      <c r="G269" s="7"/>
      <c r="H269" s="7"/>
      <c r="I269" s="7"/>
      <c r="J269" s="7"/>
      <c r="K269" s="9"/>
      <c r="L269" s="10"/>
      <c r="M269" s="10"/>
      <c r="N269" s="10"/>
      <c r="O269" s="10"/>
      <c r="P269" s="11"/>
      <c r="Q269" s="9"/>
      <c r="R269" s="12" t="str">
        <f aca="false">IF(AND(ISNUMBER(K269),ISNUMBER(Q269),K269&gt;0),Q269/K269,"")</f>
        <v/>
      </c>
      <c r="S269" s="11"/>
      <c r="T269" s="9"/>
      <c r="U269" s="10"/>
      <c r="V269" s="11"/>
      <c r="W269" s="11"/>
      <c r="X269" s="11"/>
      <c r="Y269" s="12" t="str">
        <f aca="false">IF(COUNT(V269:X269)=0,"",MAX(0,1-SUM(V269:X269)))</f>
        <v/>
      </c>
      <c r="Z269" s="13"/>
      <c r="AA269" s="9"/>
      <c r="AB269" s="7"/>
      <c r="AC269" s="7"/>
      <c r="AD269" s="7"/>
      <c r="AE269" s="7"/>
      <c r="AF269" s="14" t="str">
        <f aca="false">IF(D269="","",COUNTIF($D$2:D269,D269))</f>
        <v/>
      </c>
      <c r="AG269" s="15" t="str">
        <f aca="false" t="array" ref="AG269:AG269">IF(D269="","",IFERROR(MEDIAN(IF(($D$2:$D$401=D269)*($AF$2:$AF$401&gt;=AF269-5)*($AF$2:$AF$401&lt;=AF269-1)*($M$2:$M$401&lt;&gt;""),$M$2:$M$401)),""))</f>
        <v/>
      </c>
      <c r="AH269" s="16" t="str">
        <f aca="false">IF(AND(ISNUMBER(M269),ISNUMBER(AG269)),IF(AG269&gt;0,M269/AG269,""),"")</f>
        <v/>
      </c>
      <c r="AI269" s="15" t="str">
        <f aca="false" t="array" ref="AI269:AI269">IF(D269="","",IFERROR(MEDIAN(IF(($D$2:$D$401=D269)*($AF$2:$AF$401&gt;=AF269-5)*($AF$2:$AF$401&lt;=AF269-1)*($N$2:$N$401&lt;&gt;""),$N$2:$N$401)),""))</f>
        <v/>
      </c>
      <c r="AJ269" s="16" t="str">
        <f aca="false">IF(AND(ISNUMBER(N269),ISNUMBER(AI269)),IF(AI269&gt;0,N269/AI269,""),"")</f>
        <v/>
      </c>
      <c r="AK269" s="12" t="str">
        <f aca="false" t="array" ref="AK269:AK269">IF(D269="","",IFERROR(MEDIAN(IF(($D$2:$D$401=D269)*ISNUMBER($R$2:$R$401),$R$2:$R$401)),""))</f>
        <v/>
      </c>
      <c r="AL269" s="17" t="str">
        <f aca="false">IF(ISNUMBER(AJ269),IF(AND(AJ269&gt;=Resumen!$C$5,OR(NOT(ISNUMBER(R269)),NOT(ISNUMBER(AK269)),R269&gt;=AK269)),"Ganador",IF(AJ269&lt;=Resumen!$C$6,"Perdedor","Normal")),IF(ISNUMBER(AH269),IF(AH269&gt;=Resumen!$C$5,"Ganador (7 d, provisional)",IF(AH269&lt;=Resumen!$C$6,"Perdedor (7 d, provisional)","Normal (7 d, provisional)")),""))</f>
        <v/>
      </c>
      <c r="AM269" s="18" t="str">
        <f aca="false">IF(AND(ISNUMBER(Z269),ISNUMBER(N269)),IF(N269&gt;0,Z269/N269*1000,""),"")</f>
        <v/>
      </c>
      <c r="AN269" s="19" t="str">
        <f aca="false">IF(AND(ISNUMBER(U269),ISNUMBER(N269)),IF(N269&gt;0,U269/N269*1000,""),"")</f>
        <v/>
      </c>
    </row>
    <row r="270" customFormat="false" ht="15" hidden="false" customHeight="false" outlineLevel="0" collapsed="false">
      <c r="A270" s="7"/>
      <c r="B270" s="7"/>
      <c r="C270" s="8"/>
      <c r="D270" s="7"/>
      <c r="E270" s="7"/>
      <c r="F270" s="7"/>
      <c r="G270" s="7"/>
      <c r="H270" s="7"/>
      <c r="I270" s="7"/>
      <c r="J270" s="7"/>
      <c r="K270" s="9"/>
      <c r="L270" s="10"/>
      <c r="M270" s="10"/>
      <c r="N270" s="10"/>
      <c r="O270" s="10"/>
      <c r="P270" s="11"/>
      <c r="Q270" s="9"/>
      <c r="R270" s="12" t="str">
        <f aca="false">IF(AND(ISNUMBER(K270),ISNUMBER(Q270),K270&gt;0),Q270/K270,"")</f>
        <v/>
      </c>
      <c r="S270" s="11"/>
      <c r="T270" s="9"/>
      <c r="U270" s="10"/>
      <c r="V270" s="11"/>
      <c r="W270" s="11"/>
      <c r="X270" s="11"/>
      <c r="Y270" s="12" t="str">
        <f aca="false">IF(COUNT(V270:X270)=0,"",MAX(0,1-SUM(V270:X270)))</f>
        <v/>
      </c>
      <c r="Z270" s="13"/>
      <c r="AA270" s="9"/>
      <c r="AB270" s="7"/>
      <c r="AC270" s="7"/>
      <c r="AD270" s="7"/>
      <c r="AE270" s="7"/>
      <c r="AF270" s="14" t="str">
        <f aca="false">IF(D270="","",COUNTIF($D$2:D270,D270))</f>
        <v/>
      </c>
      <c r="AG270" s="15" t="str">
        <f aca="false" t="array" ref="AG270:AG270">IF(D270="","",IFERROR(MEDIAN(IF(($D$2:$D$401=D270)*($AF$2:$AF$401&gt;=AF270-5)*($AF$2:$AF$401&lt;=AF270-1)*($M$2:$M$401&lt;&gt;""),$M$2:$M$401)),""))</f>
        <v/>
      </c>
      <c r="AH270" s="16" t="str">
        <f aca="false">IF(AND(ISNUMBER(M270),ISNUMBER(AG270)),IF(AG270&gt;0,M270/AG270,""),"")</f>
        <v/>
      </c>
      <c r="AI270" s="15" t="str">
        <f aca="false" t="array" ref="AI270:AI270">IF(D270="","",IFERROR(MEDIAN(IF(($D$2:$D$401=D270)*($AF$2:$AF$401&gt;=AF270-5)*($AF$2:$AF$401&lt;=AF270-1)*($N$2:$N$401&lt;&gt;""),$N$2:$N$401)),""))</f>
        <v/>
      </c>
      <c r="AJ270" s="16" t="str">
        <f aca="false">IF(AND(ISNUMBER(N270),ISNUMBER(AI270)),IF(AI270&gt;0,N270/AI270,""),"")</f>
        <v/>
      </c>
      <c r="AK270" s="12" t="str">
        <f aca="false" t="array" ref="AK270:AK270">IF(D270="","",IFERROR(MEDIAN(IF(($D$2:$D$401=D270)*ISNUMBER($R$2:$R$401),$R$2:$R$401)),""))</f>
        <v/>
      </c>
      <c r="AL270" s="17" t="str">
        <f aca="false">IF(ISNUMBER(AJ270),IF(AND(AJ270&gt;=Resumen!$C$5,OR(NOT(ISNUMBER(R270)),NOT(ISNUMBER(AK270)),R270&gt;=AK270)),"Ganador",IF(AJ270&lt;=Resumen!$C$6,"Perdedor","Normal")),IF(ISNUMBER(AH270),IF(AH270&gt;=Resumen!$C$5,"Ganador (7 d, provisional)",IF(AH270&lt;=Resumen!$C$6,"Perdedor (7 d, provisional)","Normal (7 d, provisional)")),""))</f>
        <v/>
      </c>
      <c r="AM270" s="18" t="str">
        <f aca="false">IF(AND(ISNUMBER(Z270),ISNUMBER(N270)),IF(N270&gt;0,Z270/N270*1000,""),"")</f>
        <v/>
      </c>
      <c r="AN270" s="19" t="str">
        <f aca="false">IF(AND(ISNUMBER(U270),ISNUMBER(N270)),IF(N270&gt;0,U270/N270*1000,""),"")</f>
        <v/>
      </c>
    </row>
    <row r="271" customFormat="false" ht="15" hidden="false" customHeight="false" outlineLevel="0" collapsed="false">
      <c r="A271" s="7"/>
      <c r="B271" s="7"/>
      <c r="C271" s="8"/>
      <c r="D271" s="7"/>
      <c r="E271" s="7"/>
      <c r="F271" s="7"/>
      <c r="G271" s="7"/>
      <c r="H271" s="7"/>
      <c r="I271" s="7"/>
      <c r="J271" s="7"/>
      <c r="K271" s="9"/>
      <c r="L271" s="10"/>
      <c r="M271" s="10"/>
      <c r="N271" s="10"/>
      <c r="O271" s="10"/>
      <c r="P271" s="11"/>
      <c r="Q271" s="9"/>
      <c r="R271" s="12" t="str">
        <f aca="false">IF(AND(ISNUMBER(K271),ISNUMBER(Q271),K271&gt;0),Q271/K271,"")</f>
        <v/>
      </c>
      <c r="S271" s="11"/>
      <c r="T271" s="9"/>
      <c r="U271" s="10"/>
      <c r="V271" s="11"/>
      <c r="W271" s="11"/>
      <c r="X271" s="11"/>
      <c r="Y271" s="12" t="str">
        <f aca="false">IF(COUNT(V271:X271)=0,"",MAX(0,1-SUM(V271:X271)))</f>
        <v/>
      </c>
      <c r="Z271" s="13"/>
      <c r="AA271" s="9"/>
      <c r="AB271" s="7"/>
      <c r="AC271" s="7"/>
      <c r="AD271" s="7"/>
      <c r="AE271" s="7"/>
      <c r="AF271" s="14" t="str">
        <f aca="false">IF(D271="","",COUNTIF($D$2:D271,D271))</f>
        <v/>
      </c>
      <c r="AG271" s="15" t="str">
        <f aca="false" t="array" ref="AG271:AG271">IF(D271="","",IFERROR(MEDIAN(IF(($D$2:$D$401=D271)*($AF$2:$AF$401&gt;=AF271-5)*($AF$2:$AF$401&lt;=AF271-1)*($M$2:$M$401&lt;&gt;""),$M$2:$M$401)),""))</f>
        <v/>
      </c>
      <c r="AH271" s="16" t="str">
        <f aca="false">IF(AND(ISNUMBER(M271),ISNUMBER(AG271)),IF(AG271&gt;0,M271/AG271,""),"")</f>
        <v/>
      </c>
      <c r="AI271" s="15" t="str">
        <f aca="false" t="array" ref="AI271:AI271">IF(D271="","",IFERROR(MEDIAN(IF(($D$2:$D$401=D271)*($AF$2:$AF$401&gt;=AF271-5)*($AF$2:$AF$401&lt;=AF271-1)*($N$2:$N$401&lt;&gt;""),$N$2:$N$401)),""))</f>
        <v/>
      </c>
      <c r="AJ271" s="16" t="str">
        <f aca="false">IF(AND(ISNUMBER(N271),ISNUMBER(AI271)),IF(AI271&gt;0,N271/AI271,""),"")</f>
        <v/>
      </c>
      <c r="AK271" s="12" t="str">
        <f aca="false" t="array" ref="AK271:AK271">IF(D271="","",IFERROR(MEDIAN(IF(($D$2:$D$401=D271)*ISNUMBER($R$2:$R$401),$R$2:$R$401)),""))</f>
        <v/>
      </c>
      <c r="AL271" s="17" t="str">
        <f aca="false">IF(ISNUMBER(AJ271),IF(AND(AJ271&gt;=Resumen!$C$5,OR(NOT(ISNUMBER(R271)),NOT(ISNUMBER(AK271)),R271&gt;=AK271)),"Ganador",IF(AJ271&lt;=Resumen!$C$6,"Perdedor","Normal")),IF(ISNUMBER(AH271),IF(AH271&gt;=Resumen!$C$5,"Ganador (7 d, provisional)",IF(AH271&lt;=Resumen!$C$6,"Perdedor (7 d, provisional)","Normal (7 d, provisional)")),""))</f>
        <v/>
      </c>
      <c r="AM271" s="18" t="str">
        <f aca="false">IF(AND(ISNUMBER(Z271),ISNUMBER(N271)),IF(N271&gt;0,Z271/N271*1000,""),"")</f>
        <v/>
      </c>
      <c r="AN271" s="19" t="str">
        <f aca="false">IF(AND(ISNUMBER(U271),ISNUMBER(N271)),IF(N271&gt;0,U271/N271*1000,""),"")</f>
        <v/>
      </c>
    </row>
    <row r="272" customFormat="false" ht="15" hidden="false" customHeight="false" outlineLevel="0" collapsed="false">
      <c r="A272" s="7"/>
      <c r="B272" s="7"/>
      <c r="C272" s="8"/>
      <c r="D272" s="7"/>
      <c r="E272" s="7"/>
      <c r="F272" s="7"/>
      <c r="G272" s="7"/>
      <c r="H272" s="7"/>
      <c r="I272" s="7"/>
      <c r="J272" s="7"/>
      <c r="K272" s="9"/>
      <c r="L272" s="10"/>
      <c r="M272" s="10"/>
      <c r="N272" s="10"/>
      <c r="O272" s="10"/>
      <c r="P272" s="11"/>
      <c r="Q272" s="9"/>
      <c r="R272" s="12" t="str">
        <f aca="false">IF(AND(ISNUMBER(K272),ISNUMBER(Q272),K272&gt;0),Q272/K272,"")</f>
        <v/>
      </c>
      <c r="S272" s="11"/>
      <c r="T272" s="9"/>
      <c r="U272" s="10"/>
      <c r="V272" s="11"/>
      <c r="W272" s="11"/>
      <c r="X272" s="11"/>
      <c r="Y272" s="12" t="str">
        <f aca="false">IF(COUNT(V272:X272)=0,"",MAX(0,1-SUM(V272:X272)))</f>
        <v/>
      </c>
      <c r="Z272" s="13"/>
      <c r="AA272" s="9"/>
      <c r="AB272" s="7"/>
      <c r="AC272" s="7"/>
      <c r="AD272" s="7"/>
      <c r="AE272" s="7"/>
      <c r="AF272" s="14" t="str">
        <f aca="false">IF(D272="","",COUNTIF($D$2:D272,D272))</f>
        <v/>
      </c>
      <c r="AG272" s="15" t="str">
        <f aca="false" t="array" ref="AG272:AG272">IF(D272="","",IFERROR(MEDIAN(IF(($D$2:$D$401=D272)*($AF$2:$AF$401&gt;=AF272-5)*($AF$2:$AF$401&lt;=AF272-1)*($M$2:$M$401&lt;&gt;""),$M$2:$M$401)),""))</f>
        <v/>
      </c>
      <c r="AH272" s="16" t="str">
        <f aca="false">IF(AND(ISNUMBER(M272),ISNUMBER(AG272)),IF(AG272&gt;0,M272/AG272,""),"")</f>
        <v/>
      </c>
      <c r="AI272" s="15" t="str">
        <f aca="false" t="array" ref="AI272:AI272">IF(D272="","",IFERROR(MEDIAN(IF(($D$2:$D$401=D272)*($AF$2:$AF$401&gt;=AF272-5)*($AF$2:$AF$401&lt;=AF272-1)*($N$2:$N$401&lt;&gt;""),$N$2:$N$401)),""))</f>
        <v/>
      </c>
      <c r="AJ272" s="16" t="str">
        <f aca="false">IF(AND(ISNUMBER(N272),ISNUMBER(AI272)),IF(AI272&gt;0,N272/AI272,""),"")</f>
        <v/>
      </c>
      <c r="AK272" s="12" t="str">
        <f aca="false" t="array" ref="AK272:AK272">IF(D272="","",IFERROR(MEDIAN(IF(($D$2:$D$401=D272)*ISNUMBER($R$2:$R$401),$R$2:$R$401)),""))</f>
        <v/>
      </c>
      <c r="AL272" s="17" t="str">
        <f aca="false">IF(ISNUMBER(AJ272),IF(AND(AJ272&gt;=Resumen!$C$5,OR(NOT(ISNUMBER(R272)),NOT(ISNUMBER(AK272)),R272&gt;=AK272)),"Ganador",IF(AJ272&lt;=Resumen!$C$6,"Perdedor","Normal")),IF(ISNUMBER(AH272),IF(AH272&gt;=Resumen!$C$5,"Ganador (7 d, provisional)",IF(AH272&lt;=Resumen!$C$6,"Perdedor (7 d, provisional)","Normal (7 d, provisional)")),""))</f>
        <v/>
      </c>
      <c r="AM272" s="18" t="str">
        <f aca="false">IF(AND(ISNUMBER(Z272),ISNUMBER(N272)),IF(N272&gt;0,Z272/N272*1000,""),"")</f>
        <v/>
      </c>
      <c r="AN272" s="19" t="str">
        <f aca="false">IF(AND(ISNUMBER(U272),ISNUMBER(N272)),IF(N272&gt;0,U272/N272*1000,""),"")</f>
        <v/>
      </c>
    </row>
    <row r="273" customFormat="false" ht="15" hidden="false" customHeight="false" outlineLevel="0" collapsed="false">
      <c r="A273" s="7"/>
      <c r="B273" s="7"/>
      <c r="C273" s="8"/>
      <c r="D273" s="7"/>
      <c r="E273" s="7"/>
      <c r="F273" s="7"/>
      <c r="G273" s="7"/>
      <c r="H273" s="7"/>
      <c r="I273" s="7"/>
      <c r="J273" s="7"/>
      <c r="K273" s="9"/>
      <c r="L273" s="10"/>
      <c r="M273" s="10"/>
      <c r="N273" s="10"/>
      <c r="O273" s="10"/>
      <c r="P273" s="11"/>
      <c r="Q273" s="9"/>
      <c r="R273" s="12" t="str">
        <f aca="false">IF(AND(ISNUMBER(K273),ISNUMBER(Q273),K273&gt;0),Q273/K273,"")</f>
        <v/>
      </c>
      <c r="S273" s="11"/>
      <c r="T273" s="9"/>
      <c r="U273" s="10"/>
      <c r="V273" s="11"/>
      <c r="W273" s="11"/>
      <c r="X273" s="11"/>
      <c r="Y273" s="12" t="str">
        <f aca="false">IF(COUNT(V273:X273)=0,"",MAX(0,1-SUM(V273:X273)))</f>
        <v/>
      </c>
      <c r="Z273" s="13"/>
      <c r="AA273" s="9"/>
      <c r="AB273" s="7"/>
      <c r="AC273" s="7"/>
      <c r="AD273" s="7"/>
      <c r="AE273" s="7"/>
      <c r="AF273" s="14" t="str">
        <f aca="false">IF(D273="","",COUNTIF($D$2:D273,D273))</f>
        <v/>
      </c>
      <c r="AG273" s="15" t="str">
        <f aca="false" t="array" ref="AG273:AG273">IF(D273="","",IFERROR(MEDIAN(IF(($D$2:$D$401=D273)*($AF$2:$AF$401&gt;=AF273-5)*($AF$2:$AF$401&lt;=AF273-1)*($M$2:$M$401&lt;&gt;""),$M$2:$M$401)),""))</f>
        <v/>
      </c>
      <c r="AH273" s="16" t="str">
        <f aca="false">IF(AND(ISNUMBER(M273),ISNUMBER(AG273)),IF(AG273&gt;0,M273/AG273,""),"")</f>
        <v/>
      </c>
      <c r="AI273" s="15" t="str">
        <f aca="false" t="array" ref="AI273:AI273">IF(D273="","",IFERROR(MEDIAN(IF(($D$2:$D$401=D273)*($AF$2:$AF$401&gt;=AF273-5)*($AF$2:$AF$401&lt;=AF273-1)*($N$2:$N$401&lt;&gt;""),$N$2:$N$401)),""))</f>
        <v/>
      </c>
      <c r="AJ273" s="16" t="str">
        <f aca="false">IF(AND(ISNUMBER(N273),ISNUMBER(AI273)),IF(AI273&gt;0,N273/AI273,""),"")</f>
        <v/>
      </c>
      <c r="AK273" s="12" t="str">
        <f aca="false" t="array" ref="AK273:AK273">IF(D273="","",IFERROR(MEDIAN(IF(($D$2:$D$401=D273)*ISNUMBER($R$2:$R$401),$R$2:$R$401)),""))</f>
        <v/>
      </c>
      <c r="AL273" s="17" t="str">
        <f aca="false">IF(ISNUMBER(AJ273),IF(AND(AJ273&gt;=Resumen!$C$5,OR(NOT(ISNUMBER(R273)),NOT(ISNUMBER(AK273)),R273&gt;=AK273)),"Ganador",IF(AJ273&lt;=Resumen!$C$6,"Perdedor","Normal")),IF(ISNUMBER(AH273),IF(AH273&gt;=Resumen!$C$5,"Ganador (7 d, provisional)",IF(AH273&lt;=Resumen!$C$6,"Perdedor (7 d, provisional)","Normal (7 d, provisional)")),""))</f>
        <v/>
      </c>
      <c r="AM273" s="18" t="str">
        <f aca="false">IF(AND(ISNUMBER(Z273),ISNUMBER(N273)),IF(N273&gt;0,Z273/N273*1000,""),"")</f>
        <v/>
      </c>
      <c r="AN273" s="19" t="str">
        <f aca="false">IF(AND(ISNUMBER(U273),ISNUMBER(N273)),IF(N273&gt;0,U273/N273*1000,""),"")</f>
        <v/>
      </c>
    </row>
    <row r="274" customFormat="false" ht="15" hidden="false" customHeight="false" outlineLevel="0" collapsed="false">
      <c r="A274" s="7"/>
      <c r="B274" s="7"/>
      <c r="C274" s="8"/>
      <c r="D274" s="7"/>
      <c r="E274" s="7"/>
      <c r="F274" s="7"/>
      <c r="G274" s="7"/>
      <c r="H274" s="7"/>
      <c r="I274" s="7"/>
      <c r="J274" s="7"/>
      <c r="K274" s="9"/>
      <c r="L274" s="10"/>
      <c r="M274" s="10"/>
      <c r="N274" s="10"/>
      <c r="O274" s="10"/>
      <c r="P274" s="11"/>
      <c r="Q274" s="9"/>
      <c r="R274" s="12" t="str">
        <f aca="false">IF(AND(ISNUMBER(K274),ISNUMBER(Q274),K274&gt;0),Q274/K274,"")</f>
        <v/>
      </c>
      <c r="S274" s="11"/>
      <c r="T274" s="9"/>
      <c r="U274" s="10"/>
      <c r="V274" s="11"/>
      <c r="W274" s="11"/>
      <c r="X274" s="11"/>
      <c r="Y274" s="12" t="str">
        <f aca="false">IF(COUNT(V274:X274)=0,"",MAX(0,1-SUM(V274:X274)))</f>
        <v/>
      </c>
      <c r="Z274" s="13"/>
      <c r="AA274" s="9"/>
      <c r="AB274" s="7"/>
      <c r="AC274" s="7"/>
      <c r="AD274" s="7"/>
      <c r="AE274" s="7"/>
      <c r="AF274" s="14" t="str">
        <f aca="false">IF(D274="","",COUNTIF($D$2:D274,D274))</f>
        <v/>
      </c>
      <c r="AG274" s="15" t="str">
        <f aca="false" t="array" ref="AG274:AG274">IF(D274="","",IFERROR(MEDIAN(IF(($D$2:$D$401=D274)*($AF$2:$AF$401&gt;=AF274-5)*($AF$2:$AF$401&lt;=AF274-1)*($M$2:$M$401&lt;&gt;""),$M$2:$M$401)),""))</f>
        <v/>
      </c>
      <c r="AH274" s="16" t="str">
        <f aca="false">IF(AND(ISNUMBER(M274),ISNUMBER(AG274)),IF(AG274&gt;0,M274/AG274,""),"")</f>
        <v/>
      </c>
      <c r="AI274" s="15" t="str">
        <f aca="false" t="array" ref="AI274:AI274">IF(D274="","",IFERROR(MEDIAN(IF(($D$2:$D$401=D274)*($AF$2:$AF$401&gt;=AF274-5)*($AF$2:$AF$401&lt;=AF274-1)*($N$2:$N$401&lt;&gt;""),$N$2:$N$401)),""))</f>
        <v/>
      </c>
      <c r="AJ274" s="16" t="str">
        <f aca="false">IF(AND(ISNUMBER(N274),ISNUMBER(AI274)),IF(AI274&gt;0,N274/AI274,""),"")</f>
        <v/>
      </c>
      <c r="AK274" s="12" t="str">
        <f aca="false" t="array" ref="AK274:AK274">IF(D274="","",IFERROR(MEDIAN(IF(($D$2:$D$401=D274)*ISNUMBER($R$2:$R$401),$R$2:$R$401)),""))</f>
        <v/>
      </c>
      <c r="AL274" s="17" t="str">
        <f aca="false">IF(ISNUMBER(AJ274),IF(AND(AJ274&gt;=Resumen!$C$5,OR(NOT(ISNUMBER(R274)),NOT(ISNUMBER(AK274)),R274&gt;=AK274)),"Ganador",IF(AJ274&lt;=Resumen!$C$6,"Perdedor","Normal")),IF(ISNUMBER(AH274),IF(AH274&gt;=Resumen!$C$5,"Ganador (7 d, provisional)",IF(AH274&lt;=Resumen!$C$6,"Perdedor (7 d, provisional)","Normal (7 d, provisional)")),""))</f>
        <v/>
      </c>
      <c r="AM274" s="18" t="str">
        <f aca="false">IF(AND(ISNUMBER(Z274),ISNUMBER(N274)),IF(N274&gt;0,Z274/N274*1000,""),"")</f>
        <v/>
      </c>
      <c r="AN274" s="19" t="str">
        <f aca="false">IF(AND(ISNUMBER(U274),ISNUMBER(N274)),IF(N274&gt;0,U274/N274*1000,""),"")</f>
        <v/>
      </c>
    </row>
    <row r="275" customFormat="false" ht="15" hidden="false" customHeight="false" outlineLevel="0" collapsed="false">
      <c r="A275" s="7"/>
      <c r="B275" s="7"/>
      <c r="C275" s="8"/>
      <c r="D275" s="7"/>
      <c r="E275" s="7"/>
      <c r="F275" s="7"/>
      <c r="G275" s="7"/>
      <c r="H275" s="7"/>
      <c r="I275" s="7"/>
      <c r="J275" s="7"/>
      <c r="K275" s="9"/>
      <c r="L275" s="10"/>
      <c r="M275" s="10"/>
      <c r="N275" s="10"/>
      <c r="O275" s="10"/>
      <c r="P275" s="11"/>
      <c r="Q275" s="9"/>
      <c r="R275" s="12" t="str">
        <f aca="false">IF(AND(ISNUMBER(K275),ISNUMBER(Q275),K275&gt;0),Q275/K275,"")</f>
        <v/>
      </c>
      <c r="S275" s="11"/>
      <c r="T275" s="9"/>
      <c r="U275" s="10"/>
      <c r="V275" s="11"/>
      <c r="W275" s="11"/>
      <c r="X275" s="11"/>
      <c r="Y275" s="12" t="str">
        <f aca="false">IF(COUNT(V275:X275)=0,"",MAX(0,1-SUM(V275:X275)))</f>
        <v/>
      </c>
      <c r="Z275" s="13"/>
      <c r="AA275" s="9"/>
      <c r="AB275" s="7"/>
      <c r="AC275" s="7"/>
      <c r="AD275" s="7"/>
      <c r="AE275" s="7"/>
      <c r="AF275" s="14" t="str">
        <f aca="false">IF(D275="","",COUNTIF($D$2:D275,D275))</f>
        <v/>
      </c>
      <c r="AG275" s="15" t="str">
        <f aca="false" t="array" ref="AG275:AG275">IF(D275="","",IFERROR(MEDIAN(IF(($D$2:$D$401=D275)*($AF$2:$AF$401&gt;=AF275-5)*($AF$2:$AF$401&lt;=AF275-1)*($M$2:$M$401&lt;&gt;""),$M$2:$M$401)),""))</f>
        <v/>
      </c>
      <c r="AH275" s="16" t="str">
        <f aca="false">IF(AND(ISNUMBER(M275),ISNUMBER(AG275)),IF(AG275&gt;0,M275/AG275,""),"")</f>
        <v/>
      </c>
      <c r="AI275" s="15" t="str">
        <f aca="false" t="array" ref="AI275:AI275">IF(D275="","",IFERROR(MEDIAN(IF(($D$2:$D$401=D275)*($AF$2:$AF$401&gt;=AF275-5)*($AF$2:$AF$401&lt;=AF275-1)*($N$2:$N$401&lt;&gt;""),$N$2:$N$401)),""))</f>
        <v/>
      </c>
      <c r="AJ275" s="16" t="str">
        <f aca="false">IF(AND(ISNUMBER(N275),ISNUMBER(AI275)),IF(AI275&gt;0,N275/AI275,""),"")</f>
        <v/>
      </c>
      <c r="AK275" s="12" t="str">
        <f aca="false" t="array" ref="AK275:AK275">IF(D275="","",IFERROR(MEDIAN(IF(($D$2:$D$401=D275)*ISNUMBER($R$2:$R$401),$R$2:$R$401)),""))</f>
        <v/>
      </c>
      <c r="AL275" s="17" t="str">
        <f aca="false">IF(ISNUMBER(AJ275),IF(AND(AJ275&gt;=Resumen!$C$5,OR(NOT(ISNUMBER(R275)),NOT(ISNUMBER(AK275)),R275&gt;=AK275)),"Ganador",IF(AJ275&lt;=Resumen!$C$6,"Perdedor","Normal")),IF(ISNUMBER(AH275),IF(AH275&gt;=Resumen!$C$5,"Ganador (7 d, provisional)",IF(AH275&lt;=Resumen!$C$6,"Perdedor (7 d, provisional)","Normal (7 d, provisional)")),""))</f>
        <v/>
      </c>
      <c r="AM275" s="18" t="str">
        <f aca="false">IF(AND(ISNUMBER(Z275),ISNUMBER(N275)),IF(N275&gt;0,Z275/N275*1000,""),"")</f>
        <v/>
      </c>
      <c r="AN275" s="19" t="str">
        <f aca="false">IF(AND(ISNUMBER(U275),ISNUMBER(N275)),IF(N275&gt;0,U275/N275*1000,""),"")</f>
        <v/>
      </c>
    </row>
    <row r="276" customFormat="false" ht="15" hidden="false" customHeight="false" outlineLevel="0" collapsed="false">
      <c r="A276" s="7"/>
      <c r="B276" s="7"/>
      <c r="C276" s="8"/>
      <c r="D276" s="7"/>
      <c r="E276" s="7"/>
      <c r="F276" s="7"/>
      <c r="G276" s="7"/>
      <c r="H276" s="7"/>
      <c r="I276" s="7"/>
      <c r="J276" s="7"/>
      <c r="K276" s="9"/>
      <c r="L276" s="10"/>
      <c r="M276" s="10"/>
      <c r="N276" s="10"/>
      <c r="O276" s="10"/>
      <c r="P276" s="11"/>
      <c r="Q276" s="9"/>
      <c r="R276" s="12" t="str">
        <f aca="false">IF(AND(ISNUMBER(K276),ISNUMBER(Q276),K276&gt;0),Q276/K276,"")</f>
        <v/>
      </c>
      <c r="S276" s="11"/>
      <c r="T276" s="9"/>
      <c r="U276" s="10"/>
      <c r="V276" s="11"/>
      <c r="W276" s="11"/>
      <c r="X276" s="11"/>
      <c r="Y276" s="12" t="str">
        <f aca="false">IF(COUNT(V276:X276)=0,"",MAX(0,1-SUM(V276:X276)))</f>
        <v/>
      </c>
      <c r="Z276" s="13"/>
      <c r="AA276" s="9"/>
      <c r="AB276" s="7"/>
      <c r="AC276" s="7"/>
      <c r="AD276" s="7"/>
      <c r="AE276" s="7"/>
      <c r="AF276" s="14" t="str">
        <f aca="false">IF(D276="","",COUNTIF($D$2:D276,D276))</f>
        <v/>
      </c>
      <c r="AG276" s="15" t="str">
        <f aca="false" t="array" ref="AG276:AG276">IF(D276="","",IFERROR(MEDIAN(IF(($D$2:$D$401=D276)*($AF$2:$AF$401&gt;=AF276-5)*($AF$2:$AF$401&lt;=AF276-1)*($M$2:$M$401&lt;&gt;""),$M$2:$M$401)),""))</f>
        <v/>
      </c>
      <c r="AH276" s="16" t="str">
        <f aca="false">IF(AND(ISNUMBER(M276),ISNUMBER(AG276)),IF(AG276&gt;0,M276/AG276,""),"")</f>
        <v/>
      </c>
      <c r="AI276" s="15" t="str">
        <f aca="false" t="array" ref="AI276:AI276">IF(D276="","",IFERROR(MEDIAN(IF(($D$2:$D$401=D276)*($AF$2:$AF$401&gt;=AF276-5)*($AF$2:$AF$401&lt;=AF276-1)*($N$2:$N$401&lt;&gt;""),$N$2:$N$401)),""))</f>
        <v/>
      </c>
      <c r="AJ276" s="16" t="str">
        <f aca="false">IF(AND(ISNUMBER(N276),ISNUMBER(AI276)),IF(AI276&gt;0,N276/AI276,""),"")</f>
        <v/>
      </c>
      <c r="AK276" s="12" t="str">
        <f aca="false" t="array" ref="AK276:AK276">IF(D276="","",IFERROR(MEDIAN(IF(($D$2:$D$401=D276)*ISNUMBER($R$2:$R$401),$R$2:$R$401)),""))</f>
        <v/>
      </c>
      <c r="AL276" s="17" t="str">
        <f aca="false">IF(ISNUMBER(AJ276),IF(AND(AJ276&gt;=Resumen!$C$5,OR(NOT(ISNUMBER(R276)),NOT(ISNUMBER(AK276)),R276&gt;=AK276)),"Ganador",IF(AJ276&lt;=Resumen!$C$6,"Perdedor","Normal")),IF(ISNUMBER(AH276),IF(AH276&gt;=Resumen!$C$5,"Ganador (7 d, provisional)",IF(AH276&lt;=Resumen!$C$6,"Perdedor (7 d, provisional)","Normal (7 d, provisional)")),""))</f>
        <v/>
      </c>
      <c r="AM276" s="18" t="str">
        <f aca="false">IF(AND(ISNUMBER(Z276),ISNUMBER(N276)),IF(N276&gt;0,Z276/N276*1000,""),"")</f>
        <v/>
      </c>
      <c r="AN276" s="19" t="str">
        <f aca="false">IF(AND(ISNUMBER(U276),ISNUMBER(N276)),IF(N276&gt;0,U276/N276*1000,""),"")</f>
        <v/>
      </c>
    </row>
    <row r="277" customFormat="false" ht="15" hidden="false" customHeight="false" outlineLevel="0" collapsed="false">
      <c r="A277" s="7"/>
      <c r="B277" s="7"/>
      <c r="C277" s="8"/>
      <c r="D277" s="7"/>
      <c r="E277" s="7"/>
      <c r="F277" s="7"/>
      <c r="G277" s="7"/>
      <c r="H277" s="7"/>
      <c r="I277" s="7"/>
      <c r="J277" s="7"/>
      <c r="K277" s="9"/>
      <c r="L277" s="10"/>
      <c r="M277" s="10"/>
      <c r="N277" s="10"/>
      <c r="O277" s="10"/>
      <c r="P277" s="11"/>
      <c r="Q277" s="9"/>
      <c r="R277" s="12" t="str">
        <f aca="false">IF(AND(ISNUMBER(K277),ISNUMBER(Q277),K277&gt;0),Q277/K277,"")</f>
        <v/>
      </c>
      <c r="S277" s="11"/>
      <c r="T277" s="9"/>
      <c r="U277" s="10"/>
      <c r="V277" s="11"/>
      <c r="W277" s="11"/>
      <c r="X277" s="11"/>
      <c r="Y277" s="12" t="str">
        <f aca="false">IF(COUNT(V277:X277)=0,"",MAX(0,1-SUM(V277:X277)))</f>
        <v/>
      </c>
      <c r="Z277" s="13"/>
      <c r="AA277" s="9"/>
      <c r="AB277" s="7"/>
      <c r="AC277" s="7"/>
      <c r="AD277" s="7"/>
      <c r="AE277" s="7"/>
      <c r="AF277" s="14" t="str">
        <f aca="false">IF(D277="","",COUNTIF($D$2:D277,D277))</f>
        <v/>
      </c>
      <c r="AG277" s="15" t="str">
        <f aca="false" t="array" ref="AG277:AG277">IF(D277="","",IFERROR(MEDIAN(IF(($D$2:$D$401=D277)*($AF$2:$AF$401&gt;=AF277-5)*($AF$2:$AF$401&lt;=AF277-1)*($M$2:$M$401&lt;&gt;""),$M$2:$M$401)),""))</f>
        <v/>
      </c>
      <c r="AH277" s="16" t="str">
        <f aca="false">IF(AND(ISNUMBER(M277),ISNUMBER(AG277)),IF(AG277&gt;0,M277/AG277,""),"")</f>
        <v/>
      </c>
      <c r="AI277" s="15" t="str">
        <f aca="false" t="array" ref="AI277:AI277">IF(D277="","",IFERROR(MEDIAN(IF(($D$2:$D$401=D277)*($AF$2:$AF$401&gt;=AF277-5)*($AF$2:$AF$401&lt;=AF277-1)*($N$2:$N$401&lt;&gt;""),$N$2:$N$401)),""))</f>
        <v/>
      </c>
      <c r="AJ277" s="16" t="str">
        <f aca="false">IF(AND(ISNUMBER(N277),ISNUMBER(AI277)),IF(AI277&gt;0,N277/AI277,""),"")</f>
        <v/>
      </c>
      <c r="AK277" s="12" t="str">
        <f aca="false" t="array" ref="AK277:AK277">IF(D277="","",IFERROR(MEDIAN(IF(($D$2:$D$401=D277)*ISNUMBER($R$2:$R$401),$R$2:$R$401)),""))</f>
        <v/>
      </c>
      <c r="AL277" s="17" t="str">
        <f aca="false">IF(ISNUMBER(AJ277),IF(AND(AJ277&gt;=Resumen!$C$5,OR(NOT(ISNUMBER(R277)),NOT(ISNUMBER(AK277)),R277&gt;=AK277)),"Ganador",IF(AJ277&lt;=Resumen!$C$6,"Perdedor","Normal")),IF(ISNUMBER(AH277),IF(AH277&gt;=Resumen!$C$5,"Ganador (7 d, provisional)",IF(AH277&lt;=Resumen!$C$6,"Perdedor (7 d, provisional)","Normal (7 d, provisional)")),""))</f>
        <v/>
      </c>
      <c r="AM277" s="18" t="str">
        <f aca="false">IF(AND(ISNUMBER(Z277),ISNUMBER(N277)),IF(N277&gt;0,Z277/N277*1000,""),"")</f>
        <v/>
      </c>
      <c r="AN277" s="19" t="str">
        <f aca="false">IF(AND(ISNUMBER(U277),ISNUMBER(N277)),IF(N277&gt;0,U277/N277*1000,""),"")</f>
        <v/>
      </c>
    </row>
    <row r="278" customFormat="false" ht="15" hidden="false" customHeight="false" outlineLevel="0" collapsed="false">
      <c r="A278" s="7"/>
      <c r="B278" s="7"/>
      <c r="C278" s="8"/>
      <c r="D278" s="7"/>
      <c r="E278" s="7"/>
      <c r="F278" s="7"/>
      <c r="G278" s="7"/>
      <c r="H278" s="7"/>
      <c r="I278" s="7"/>
      <c r="J278" s="7"/>
      <c r="K278" s="9"/>
      <c r="L278" s="10"/>
      <c r="M278" s="10"/>
      <c r="N278" s="10"/>
      <c r="O278" s="10"/>
      <c r="P278" s="11"/>
      <c r="Q278" s="9"/>
      <c r="R278" s="12" t="str">
        <f aca="false">IF(AND(ISNUMBER(K278),ISNUMBER(Q278),K278&gt;0),Q278/K278,"")</f>
        <v/>
      </c>
      <c r="S278" s="11"/>
      <c r="T278" s="9"/>
      <c r="U278" s="10"/>
      <c r="V278" s="11"/>
      <c r="W278" s="11"/>
      <c r="X278" s="11"/>
      <c r="Y278" s="12" t="str">
        <f aca="false">IF(COUNT(V278:X278)=0,"",MAX(0,1-SUM(V278:X278)))</f>
        <v/>
      </c>
      <c r="Z278" s="13"/>
      <c r="AA278" s="9"/>
      <c r="AB278" s="7"/>
      <c r="AC278" s="7"/>
      <c r="AD278" s="7"/>
      <c r="AE278" s="7"/>
      <c r="AF278" s="14" t="str">
        <f aca="false">IF(D278="","",COUNTIF($D$2:D278,D278))</f>
        <v/>
      </c>
      <c r="AG278" s="15" t="str">
        <f aca="false" t="array" ref="AG278:AG278">IF(D278="","",IFERROR(MEDIAN(IF(($D$2:$D$401=D278)*($AF$2:$AF$401&gt;=AF278-5)*($AF$2:$AF$401&lt;=AF278-1)*($M$2:$M$401&lt;&gt;""),$M$2:$M$401)),""))</f>
        <v/>
      </c>
      <c r="AH278" s="16" t="str">
        <f aca="false">IF(AND(ISNUMBER(M278),ISNUMBER(AG278)),IF(AG278&gt;0,M278/AG278,""),"")</f>
        <v/>
      </c>
      <c r="AI278" s="15" t="str">
        <f aca="false" t="array" ref="AI278:AI278">IF(D278="","",IFERROR(MEDIAN(IF(($D$2:$D$401=D278)*($AF$2:$AF$401&gt;=AF278-5)*($AF$2:$AF$401&lt;=AF278-1)*($N$2:$N$401&lt;&gt;""),$N$2:$N$401)),""))</f>
        <v/>
      </c>
      <c r="AJ278" s="16" t="str">
        <f aca="false">IF(AND(ISNUMBER(N278),ISNUMBER(AI278)),IF(AI278&gt;0,N278/AI278,""),"")</f>
        <v/>
      </c>
      <c r="AK278" s="12" t="str">
        <f aca="false" t="array" ref="AK278:AK278">IF(D278="","",IFERROR(MEDIAN(IF(($D$2:$D$401=D278)*ISNUMBER($R$2:$R$401),$R$2:$R$401)),""))</f>
        <v/>
      </c>
      <c r="AL278" s="17" t="str">
        <f aca="false">IF(ISNUMBER(AJ278),IF(AND(AJ278&gt;=Resumen!$C$5,OR(NOT(ISNUMBER(R278)),NOT(ISNUMBER(AK278)),R278&gt;=AK278)),"Ganador",IF(AJ278&lt;=Resumen!$C$6,"Perdedor","Normal")),IF(ISNUMBER(AH278),IF(AH278&gt;=Resumen!$C$5,"Ganador (7 d, provisional)",IF(AH278&lt;=Resumen!$C$6,"Perdedor (7 d, provisional)","Normal (7 d, provisional)")),""))</f>
        <v/>
      </c>
      <c r="AM278" s="18" t="str">
        <f aca="false">IF(AND(ISNUMBER(Z278),ISNUMBER(N278)),IF(N278&gt;0,Z278/N278*1000,""),"")</f>
        <v/>
      </c>
      <c r="AN278" s="19" t="str">
        <f aca="false">IF(AND(ISNUMBER(U278),ISNUMBER(N278)),IF(N278&gt;0,U278/N278*1000,""),"")</f>
        <v/>
      </c>
    </row>
    <row r="279" customFormat="false" ht="15" hidden="false" customHeight="false" outlineLevel="0" collapsed="false">
      <c r="A279" s="7"/>
      <c r="B279" s="7"/>
      <c r="C279" s="8"/>
      <c r="D279" s="7"/>
      <c r="E279" s="7"/>
      <c r="F279" s="7"/>
      <c r="G279" s="7"/>
      <c r="H279" s="7"/>
      <c r="I279" s="7"/>
      <c r="J279" s="7"/>
      <c r="K279" s="9"/>
      <c r="L279" s="10"/>
      <c r="M279" s="10"/>
      <c r="N279" s="10"/>
      <c r="O279" s="10"/>
      <c r="P279" s="11"/>
      <c r="Q279" s="9"/>
      <c r="R279" s="12" t="str">
        <f aca="false">IF(AND(ISNUMBER(K279),ISNUMBER(Q279),K279&gt;0),Q279/K279,"")</f>
        <v/>
      </c>
      <c r="S279" s="11"/>
      <c r="T279" s="9"/>
      <c r="U279" s="10"/>
      <c r="V279" s="11"/>
      <c r="W279" s="11"/>
      <c r="X279" s="11"/>
      <c r="Y279" s="12" t="str">
        <f aca="false">IF(COUNT(V279:X279)=0,"",MAX(0,1-SUM(V279:X279)))</f>
        <v/>
      </c>
      <c r="Z279" s="13"/>
      <c r="AA279" s="9"/>
      <c r="AB279" s="7"/>
      <c r="AC279" s="7"/>
      <c r="AD279" s="7"/>
      <c r="AE279" s="7"/>
      <c r="AF279" s="14" t="str">
        <f aca="false">IF(D279="","",COUNTIF($D$2:D279,D279))</f>
        <v/>
      </c>
      <c r="AG279" s="15" t="str">
        <f aca="false" t="array" ref="AG279:AG279">IF(D279="","",IFERROR(MEDIAN(IF(($D$2:$D$401=D279)*($AF$2:$AF$401&gt;=AF279-5)*($AF$2:$AF$401&lt;=AF279-1)*($M$2:$M$401&lt;&gt;""),$M$2:$M$401)),""))</f>
        <v/>
      </c>
      <c r="AH279" s="16" t="str">
        <f aca="false">IF(AND(ISNUMBER(M279),ISNUMBER(AG279)),IF(AG279&gt;0,M279/AG279,""),"")</f>
        <v/>
      </c>
      <c r="AI279" s="15" t="str">
        <f aca="false" t="array" ref="AI279:AI279">IF(D279="","",IFERROR(MEDIAN(IF(($D$2:$D$401=D279)*($AF$2:$AF$401&gt;=AF279-5)*($AF$2:$AF$401&lt;=AF279-1)*($N$2:$N$401&lt;&gt;""),$N$2:$N$401)),""))</f>
        <v/>
      </c>
      <c r="AJ279" s="16" t="str">
        <f aca="false">IF(AND(ISNUMBER(N279),ISNUMBER(AI279)),IF(AI279&gt;0,N279/AI279,""),"")</f>
        <v/>
      </c>
      <c r="AK279" s="12" t="str">
        <f aca="false" t="array" ref="AK279:AK279">IF(D279="","",IFERROR(MEDIAN(IF(($D$2:$D$401=D279)*ISNUMBER($R$2:$R$401),$R$2:$R$401)),""))</f>
        <v/>
      </c>
      <c r="AL279" s="17" t="str">
        <f aca="false">IF(ISNUMBER(AJ279),IF(AND(AJ279&gt;=Resumen!$C$5,OR(NOT(ISNUMBER(R279)),NOT(ISNUMBER(AK279)),R279&gt;=AK279)),"Ganador",IF(AJ279&lt;=Resumen!$C$6,"Perdedor","Normal")),IF(ISNUMBER(AH279),IF(AH279&gt;=Resumen!$C$5,"Ganador (7 d, provisional)",IF(AH279&lt;=Resumen!$C$6,"Perdedor (7 d, provisional)","Normal (7 d, provisional)")),""))</f>
        <v/>
      </c>
      <c r="AM279" s="18" t="str">
        <f aca="false">IF(AND(ISNUMBER(Z279),ISNUMBER(N279)),IF(N279&gt;0,Z279/N279*1000,""),"")</f>
        <v/>
      </c>
      <c r="AN279" s="19" t="str">
        <f aca="false">IF(AND(ISNUMBER(U279),ISNUMBER(N279)),IF(N279&gt;0,U279/N279*1000,""),"")</f>
        <v/>
      </c>
    </row>
    <row r="280" customFormat="false" ht="15" hidden="false" customHeight="false" outlineLevel="0" collapsed="false">
      <c r="A280" s="7"/>
      <c r="B280" s="7"/>
      <c r="C280" s="8"/>
      <c r="D280" s="7"/>
      <c r="E280" s="7"/>
      <c r="F280" s="7"/>
      <c r="G280" s="7"/>
      <c r="H280" s="7"/>
      <c r="I280" s="7"/>
      <c r="J280" s="7"/>
      <c r="K280" s="9"/>
      <c r="L280" s="10"/>
      <c r="M280" s="10"/>
      <c r="N280" s="10"/>
      <c r="O280" s="10"/>
      <c r="P280" s="11"/>
      <c r="Q280" s="9"/>
      <c r="R280" s="12" t="str">
        <f aca="false">IF(AND(ISNUMBER(K280),ISNUMBER(Q280),K280&gt;0),Q280/K280,"")</f>
        <v/>
      </c>
      <c r="S280" s="11"/>
      <c r="T280" s="9"/>
      <c r="U280" s="10"/>
      <c r="V280" s="11"/>
      <c r="W280" s="11"/>
      <c r="X280" s="11"/>
      <c r="Y280" s="12" t="str">
        <f aca="false">IF(COUNT(V280:X280)=0,"",MAX(0,1-SUM(V280:X280)))</f>
        <v/>
      </c>
      <c r="Z280" s="13"/>
      <c r="AA280" s="9"/>
      <c r="AB280" s="7"/>
      <c r="AC280" s="7"/>
      <c r="AD280" s="7"/>
      <c r="AE280" s="7"/>
      <c r="AF280" s="14" t="str">
        <f aca="false">IF(D280="","",COUNTIF($D$2:D280,D280))</f>
        <v/>
      </c>
      <c r="AG280" s="15" t="str">
        <f aca="false" t="array" ref="AG280:AG280">IF(D280="","",IFERROR(MEDIAN(IF(($D$2:$D$401=D280)*($AF$2:$AF$401&gt;=AF280-5)*($AF$2:$AF$401&lt;=AF280-1)*($M$2:$M$401&lt;&gt;""),$M$2:$M$401)),""))</f>
        <v/>
      </c>
      <c r="AH280" s="16" t="str">
        <f aca="false">IF(AND(ISNUMBER(M280),ISNUMBER(AG280)),IF(AG280&gt;0,M280/AG280,""),"")</f>
        <v/>
      </c>
      <c r="AI280" s="15" t="str">
        <f aca="false" t="array" ref="AI280:AI280">IF(D280="","",IFERROR(MEDIAN(IF(($D$2:$D$401=D280)*($AF$2:$AF$401&gt;=AF280-5)*($AF$2:$AF$401&lt;=AF280-1)*($N$2:$N$401&lt;&gt;""),$N$2:$N$401)),""))</f>
        <v/>
      </c>
      <c r="AJ280" s="16" t="str">
        <f aca="false">IF(AND(ISNUMBER(N280),ISNUMBER(AI280)),IF(AI280&gt;0,N280/AI280,""),"")</f>
        <v/>
      </c>
      <c r="AK280" s="12" t="str">
        <f aca="false" t="array" ref="AK280:AK280">IF(D280="","",IFERROR(MEDIAN(IF(($D$2:$D$401=D280)*ISNUMBER($R$2:$R$401),$R$2:$R$401)),""))</f>
        <v/>
      </c>
      <c r="AL280" s="17" t="str">
        <f aca="false">IF(ISNUMBER(AJ280),IF(AND(AJ280&gt;=Resumen!$C$5,OR(NOT(ISNUMBER(R280)),NOT(ISNUMBER(AK280)),R280&gt;=AK280)),"Ganador",IF(AJ280&lt;=Resumen!$C$6,"Perdedor","Normal")),IF(ISNUMBER(AH280),IF(AH280&gt;=Resumen!$C$5,"Ganador (7 d, provisional)",IF(AH280&lt;=Resumen!$C$6,"Perdedor (7 d, provisional)","Normal (7 d, provisional)")),""))</f>
        <v/>
      </c>
      <c r="AM280" s="18" t="str">
        <f aca="false">IF(AND(ISNUMBER(Z280),ISNUMBER(N280)),IF(N280&gt;0,Z280/N280*1000,""),"")</f>
        <v/>
      </c>
      <c r="AN280" s="19" t="str">
        <f aca="false">IF(AND(ISNUMBER(U280),ISNUMBER(N280)),IF(N280&gt;0,U280/N280*1000,""),"")</f>
        <v/>
      </c>
    </row>
    <row r="281" customFormat="false" ht="15" hidden="false" customHeight="false" outlineLevel="0" collapsed="false">
      <c r="A281" s="7"/>
      <c r="B281" s="7"/>
      <c r="C281" s="8"/>
      <c r="D281" s="7"/>
      <c r="E281" s="7"/>
      <c r="F281" s="7"/>
      <c r="G281" s="7"/>
      <c r="H281" s="7"/>
      <c r="I281" s="7"/>
      <c r="J281" s="7"/>
      <c r="K281" s="9"/>
      <c r="L281" s="10"/>
      <c r="M281" s="10"/>
      <c r="N281" s="10"/>
      <c r="O281" s="10"/>
      <c r="P281" s="11"/>
      <c r="Q281" s="9"/>
      <c r="R281" s="12" t="str">
        <f aca="false">IF(AND(ISNUMBER(K281),ISNUMBER(Q281),K281&gt;0),Q281/K281,"")</f>
        <v/>
      </c>
      <c r="S281" s="11"/>
      <c r="T281" s="9"/>
      <c r="U281" s="10"/>
      <c r="V281" s="11"/>
      <c r="W281" s="11"/>
      <c r="X281" s="11"/>
      <c r="Y281" s="12" t="str">
        <f aca="false">IF(COUNT(V281:X281)=0,"",MAX(0,1-SUM(V281:X281)))</f>
        <v/>
      </c>
      <c r="Z281" s="13"/>
      <c r="AA281" s="9"/>
      <c r="AB281" s="7"/>
      <c r="AC281" s="7"/>
      <c r="AD281" s="7"/>
      <c r="AE281" s="7"/>
      <c r="AF281" s="14" t="str">
        <f aca="false">IF(D281="","",COUNTIF($D$2:D281,D281))</f>
        <v/>
      </c>
      <c r="AG281" s="15" t="str">
        <f aca="false" t="array" ref="AG281:AG281">IF(D281="","",IFERROR(MEDIAN(IF(($D$2:$D$401=D281)*($AF$2:$AF$401&gt;=AF281-5)*($AF$2:$AF$401&lt;=AF281-1)*($M$2:$M$401&lt;&gt;""),$M$2:$M$401)),""))</f>
        <v/>
      </c>
      <c r="AH281" s="16" t="str">
        <f aca="false">IF(AND(ISNUMBER(M281),ISNUMBER(AG281)),IF(AG281&gt;0,M281/AG281,""),"")</f>
        <v/>
      </c>
      <c r="AI281" s="15" t="str">
        <f aca="false" t="array" ref="AI281:AI281">IF(D281="","",IFERROR(MEDIAN(IF(($D$2:$D$401=D281)*($AF$2:$AF$401&gt;=AF281-5)*($AF$2:$AF$401&lt;=AF281-1)*($N$2:$N$401&lt;&gt;""),$N$2:$N$401)),""))</f>
        <v/>
      </c>
      <c r="AJ281" s="16" t="str">
        <f aca="false">IF(AND(ISNUMBER(N281),ISNUMBER(AI281)),IF(AI281&gt;0,N281/AI281,""),"")</f>
        <v/>
      </c>
      <c r="AK281" s="12" t="str">
        <f aca="false" t="array" ref="AK281:AK281">IF(D281="","",IFERROR(MEDIAN(IF(($D$2:$D$401=D281)*ISNUMBER($R$2:$R$401),$R$2:$R$401)),""))</f>
        <v/>
      </c>
      <c r="AL281" s="17" t="str">
        <f aca="false">IF(ISNUMBER(AJ281),IF(AND(AJ281&gt;=Resumen!$C$5,OR(NOT(ISNUMBER(R281)),NOT(ISNUMBER(AK281)),R281&gt;=AK281)),"Ganador",IF(AJ281&lt;=Resumen!$C$6,"Perdedor","Normal")),IF(ISNUMBER(AH281),IF(AH281&gt;=Resumen!$C$5,"Ganador (7 d, provisional)",IF(AH281&lt;=Resumen!$C$6,"Perdedor (7 d, provisional)","Normal (7 d, provisional)")),""))</f>
        <v/>
      </c>
      <c r="AM281" s="18" t="str">
        <f aca="false">IF(AND(ISNUMBER(Z281),ISNUMBER(N281)),IF(N281&gt;0,Z281/N281*1000,""),"")</f>
        <v/>
      </c>
      <c r="AN281" s="19" t="str">
        <f aca="false">IF(AND(ISNUMBER(U281),ISNUMBER(N281)),IF(N281&gt;0,U281/N281*1000,""),"")</f>
        <v/>
      </c>
    </row>
    <row r="282" customFormat="false" ht="15" hidden="false" customHeight="false" outlineLevel="0" collapsed="false">
      <c r="A282" s="7"/>
      <c r="B282" s="7"/>
      <c r="C282" s="8"/>
      <c r="D282" s="7"/>
      <c r="E282" s="7"/>
      <c r="F282" s="7"/>
      <c r="G282" s="7"/>
      <c r="H282" s="7"/>
      <c r="I282" s="7"/>
      <c r="J282" s="7"/>
      <c r="K282" s="9"/>
      <c r="L282" s="10"/>
      <c r="M282" s="10"/>
      <c r="N282" s="10"/>
      <c r="O282" s="10"/>
      <c r="P282" s="11"/>
      <c r="Q282" s="9"/>
      <c r="R282" s="12" t="str">
        <f aca="false">IF(AND(ISNUMBER(K282),ISNUMBER(Q282),K282&gt;0),Q282/K282,"")</f>
        <v/>
      </c>
      <c r="S282" s="11"/>
      <c r="T282" s="9"/>
      <c r="U282" s="10"/>
      <c r="V282" s="11"/>
      <c r="W282" s="11"/>
      <c r="X282" s="11"/>
      <c r="Y282" s="12" t="str">
        <f aca="false">IF(COUNT(V282:X282)=0,"",MAX(0,1-SUM(V282:X282)))</f>
        <v/>
      </c>
      <c r="Z282" s="13"/>
      <c r="AA282" s="9"/>
      <c r="AB282" s="7"/>
      <c r="AC282" s="7"/>
      <c r="AD282" s="7"/>
      <c r="AE282" s="7"/>
      <c r="AF282" s="14" t="str">
        <f aca="false">IF(D282="","",COUNTIF($D$2:D282,D282))</f>
        <v/>
      </c>
      <c r="AG282" s="15" t="str">
        <f aca="false" t="array" ref="AG282:AG282">IF(D282="","",IFERROR(MEDIAN(IF(($D$2:$D$401=D282)*($AF$2:$AF$401&gt;=AF282-5)*($AF$2:$AF$401&lt;=AF282-1)*($M$2:$M$401&lt;&gt;""),$M$2:$M$401)),""))</f>
        <v/>
      </c>
      <c r="AH282" s="16" t="str">
        <f aca="false">IF(AND(ISNUMBER(M282),ISNUMBER(AG282)),IF(AG282&gt;0,M282/AG282,""),"")</f>
        <v/>
      </c>
      <c r="AI282" s="15" t="str">
        <f aca="false" t="array" ref="AI282:AI282">IF(D282="","",IFERROR(MEDIAN(IF(($D$2:$D$401=D282)*($AF$2:$AF$401&gt;=AF282-5)*($AF$2:$AF$401&lt;=AF282-1)*($N$2:$N$401&lt;&gt;""),$N$2:$N$401)),""))</f>
        <v/>
      </c>
      <c r="AJ282" s="16" t="str">
        <f aca="false">IF(AND(ISNUMBER(N282),ISNUMBER(AI282)),IF(AI282&gt;0,N282/AI282,""),"")</f>
        <v/>
      </c>
      <c r="AK282" s="12" t="str">
        <f aca="false" t="array" ref="AK282:AK282">IF(D282="","",IFERROR(MEDIAN(IF(($D$2:$D$401=D282)*ISNUMBER($R$2:$R$401),$R$2:$R$401)),""))</f>
        <v/>
      </c>
      <c r="AL282" s="17" t="str">
        <f aca="false">IF(ISNUMBER(AJ282),IF(AND(AJ282&gt;=Resumen!$C$5,OR(NOT(ISNUMBER(R282)),NOT(ISNUMBER(AK282)),R282&gt;=AK282)),"Ganador",IF(AJ282&lt;=Resumen!$C$6,"Perdedor","Normal")),IF(ISNUMBER(AH282),IF(AH282&gt;=Resumen!$C$5,"Ganador (7 d, provisional)",IF(AH282&lt;=Resumen!$C$6,"Perdedor (7 d, provisional)","Normal (7 d, provisional)")),""))</f>
        <v/>
      </c>
      <c r="AM282" s="18" t="str">
        <f aca="false">IF(AND(ISNUMBER(Z282),ISNUMBER(N282)),IF(N282&gt;0,Z282/N282*1000,""),"")</f>
        <v/>
      </c>
      <c r="AN282" s="19" t="str">
        <f aca="false">IF(AND(ISNUMBER(U282),ISNUMBER(N282)),IF(N282&gt;0,U282/N282*1000,""),"")</f>
        <v/>
      </c>
    </row>
    <row r="283" customFormat="false" ht="15" hidden="false" customHeight="false" outlineLevel="0" collapsed="false">
      <c r="A283" s="7"/>
      <c r="B283" s="7"/>
      <c r="C283" s="8"/>
      <c r="D283" s="7"/>
      <c r="E283" s="7"/>
      <c r="F283" s="7"/>
      <c r="G283" s="7"/>
      <c r="H283" s="7"/>
      <c r="I283" s="7"/>
      <c r="J283" s="7"/>
      <c r="K283" s="9"/>
      <c r="L283" s="10"/>
      <c r="M283" s="10"/>
      <c r="N283" s="10"/>
      <c r="O283" s="10"/>
      <c r="P283" s="11"/>
      <c r="Q283" s="9"/>
      <c r="R283" s="12" t="str">
        <f aca="false">IF(AND(ISNUMBER(K283),ISNUMBER(Q283),K283&gt;0),Q283/K283,"")</f>
        <v/>
      </c>
      <c r="S283" s="11"/>
      <c r="T283" s="9"/>
      <c r="U283" s="10"/>
      <c r="V283" s="11"/>
      <c r="W283" s="11"/>
      <c r="X283" s="11"/>
      <c r="Y283" s="12" t="str">
        <f aca="false">IF(COUNT(V283:X283)=0,"",MAX(0,1-SUM(V283:X283)))</f>
        <v/>
      </c>
      <c r="Z283" s="13"/>
      <c r="AA283" s="9"/>
      <c r="AB283" s="7"/>
      <c r="AC283" s="7"/>
      <c r="AD283" s="7"/>
      <c r="AE283" s="7"/>
      <c r="AF283" s="14" t="str">
        <f aca="false">IF(D283="","",COUNTIF($D$2:D283,D283))</f>
        <v/>
      </c>
      <c r="AG283" s="15" t="str">
        <f aca="false" t="array" ref="AG283:AG283">IF(D283="","",IFERROR(MEDIAN(IF(($D$2:$D$401=D283)*($AF$2:$AF$401&gt;=AF283-5)*($AF$2:$AF$401&lt;=AF283-1)*($M$2:$M$401&lt;&gt;""),$M$2:$M$401)),""))</f>
        <v/>
      </c>
      <c r="AH283" s="16" t="str">
        <f aca="false">IF(AND(ISNUMBER(M283),ISNUMBER(AG283)),IF(AG283&gt;0,M283/AG283,""),"")</f>
        <v/>
      </c>
      <c r="AI283" s="15" t="str">
        <f aca="false" t="array" ref="AI283:AI283">IF(D283="","",IFERROR(MEDIAN(IF(($D$2:$D$401=D283)*($AF$2:$AF$401&gt;=AF283-5)*($AF$2:$AF$401&lt;=AF283-1)*($N$2:$N$401&lt;&gt;""),$N$2:$N$401)),""))</f>
        <v/>
      </c>
      <c r="AJ283" s="16" t="str">
        <f aca="false">IF(AND(ISNUMBER(N283),ISNUMBER(AI283)),IF(AI283&gt;0,N283/AI283,""),"")</f>
        <v/>
      </c>
      <c r="AK283" s="12" t="str">
        <f aca="false" t="array" ref="AK283:AK283">IF(D283="","",IFERROR(MEDIAN(IF(($D$2:$D$401=D283)*ISNUMBER($R$2:$R$401),$R$2:$R$401)),""))</f>
        <v/>
      </c>
      <c r="AL283" s="17" t="str">
        <f aca="false">IF(ISNUMBER(AJ283),IF(AND(AJ283&gt;=Resumen!$C$5,OR(NOT(ISNUMBER(R283)),NOT(ISNUMBER(AK283)),R283&gt;=AK283)),"Ganador",IF(AJ283&lt;=Resumen!$C$6,"Perdedor","Normal")),IF(ISNUMBER(AH283),IF(AH283&gt;=Resumen!$C$5,"Ganador (7 d, provisional)",IF(AH283&lt;=Resumen!$C$6,"Perdedor (7 d, provisional)","Normal (7 d, provisional)")),""))</f>
        <v/>
      </c>
      <c r="AM283" s="18" t="str">
        <f aca="false">IF(AND(ISNUMBER(Z283),ISNUMBER(N283)),IF(N283&gt;0,Z283/N283*1000,""),"")</f>
        <v/>
      </c>
      <c r="AN283" s="19" t="str">
        <f aca="false">IF(AND(ISNUMBER(U283),ISNUMBER(N283)),IF(N283&gt;0,U283/N283*1000,""),"")</f>
        <v/>
      </c>
    </row>
    <row r="284" customFormat="false" ht="15" hidden="false" customHeight="false" outlineLevel="0" collapsed="false">
      <c r="A284" s="7"/>
      <c r="B284" s="7"/>
      <c r="C284" s="8"/>
      <c r="D284" s="7"/>
      <c r="E284" s="7"/>
      <c r="F284" s="7"/>
      <c r="G284" s="7"/>
      <c r="H284" s="7"/>
      <c r="I284" s="7"/>
      <c r="J284" s="7"/>
      <c r="K284" s="9"/>
      <c r="L284" s="10"/>
      <c r="M284" s="10"/>
      <c r="N284" s="10"/>
      <c r="O284" s="10"/>
      <c r="P284" s="11"/>
      <c r="Q284" s="9"/>
      <c r="R284" s="12" t="str">
        <f aca="false">IF(AND(ISNUMBER(K284),ISNUMBER(Q284),K284&gt;0),Q284/K284,"")</f>
        <v/>
      </c>
      <c r="S284" s="11"/>
      <c r="T284" s="9"/>
      <c r="U284" s="10"/>
      <c r="V284" s="11"/>
      <c r="W284" s="11"/>
      <c r="X284" s="11"/>
      <c r="Y284" s="12" t="str">
        <f aca="false">IF(COUNT(V284:X284)=0,"",MAX(0,1-SUM(V284:X284)))</f>
        <v/>
      </c>
      <c r="Z284" s="13"/>
      <c r="AA284" s="9"/>
      <c r="AB284" s="7"/>
      <c r="AC284" s="7"/>
      <c r="AD284" s="7"/>
      <c r="AE284" s="7"/>
      <c r="AF284" s="14" t="str">
        <f aca="false">IF(D284="","",COUNTIF($D$2:D284,D284))</f>
        <v/>
      </c>
      <c r="AG284" s="15" t="str">
        <f aca="false" t="array" ref="AG284:AG284">IF(D284="","",IFERROR(MEDIAN(IF(($D$2:$D$401=D284)*($AF$2:$AF$401&gt;=AF284-5)*($AF$2:$AF$401&lt;=AF284-1)*($M$2:$M$401&lt;&gt;""),$M$2:$M$401)),""))</f>
        <v/>
      </c>
      <c r="AH284" s="16" t="str">
        <f aca="false">IF(AND(ISNUMBER(M284),ISNUMBER(AG284)),IF(AG284&gt;0,M284/AG284,""),"")</f>
        <v/>
      </c>
      <c r="AI284" s="15" t="str">
        <f aca="false" t="array" ref="AI284:AI284">IF(D284="","",IFERROR(MEDIAN(IF(($D$2:$D$401=D284)*($AF$2:$AF$401&gt;=AF284-5)*($AF$2:$AF$401&lt;=AF284-1)*($N$2:$N$401&lt;&gt;""),$N$2:$N$401)),""))</f>
        <v/>
      </c>
      <c r="AJ284" s="16" t="str">
        <f aca="false">IF(AND(ISNUMBER(N284),ISNUMBER(AI284)),IF(AI284&gt;0,N284/AI284,""),"")</f>
        <v/>
      </c>
      <c r="AK284" s="12" t="str">
        <f aca="false" t="array" ref="AK284:AK284">IF(D284="","",IFERROR(MEDIAN(IF(($D$2:$D$401=D284)*ISNUMBER($R$2:$R$401),$R$2:$R$401)),""))</f>
        <v/>
      </c>
      <c r="AL284" s="17" t="str">
        <f aca="false">IF(ISNUMBER(AJ284),IF(AND(AJ284&gt;=Resumen!$C$5,OR(NOT(ISNUMBER(R284)),NOT(ISNUMBER(AK284)),R284&gt;=AK284)),"Ganador",IF(AJ284&lt;=Resumen!$C$6,"Perdedor","Normal")),IF(ISNUMBER(AH284),IF(AH284&gt;=Resumen!$C$5,"Ganador (7 d, provisional)",IF(AH284&lt;=Resumen!$C$6,"Perdedor (7 d, provisional)","Normal (7 d, provisional)")),""))</f>
        <v/>
      </c>
      <c r="AM284" s="18" t="str">
        <f aca="false">IF(AND(ISNUMBER(Z284),ISNUMBER(N284)),IF(N284&gt;0,Z284/N284*1000,""),"")</f>
        <v/>
      </c>
      <c r="AN284" s="19" t="str">
        <f aca="false">IF(AND(ISNUMBER(U284),ISNUMBER(N284)),IF(N284&gt;0,U284/N284*1000,""),"")</f>
        <v/>
      </c>
    </row>
    <row r="285" customFormat="false" ht="15" hidden="false" customHeight="false" outlineLevel="0" collapsed="false">
      <c r="A285" s="7"/>
      <c r="B285" s="7"/>
      <c r="C285" s="8"/>
      <c r="D285" s="7"/>
      <c r="E285" s="7"/>
      <c r="F285" s="7"/>
      <c r="G285" s="7"/>
      <c r="H285" s="7"/>
      <c r="I285" s="7"/>
      <c r="J285" s="7"/>
      <c r="K285" s="9"/>
      <c r="L285" s="10"/>
      <c r="M285" s="10"/>
      <c r="N285" s="10"/>
      <c r="O285" s="10"/>
      <c r="P285" s="11"/>
      <c r="Q285" s="9"/>
      <c r="R285" s="12" t="str">
        <f aca="false">IF(AND(ISNUMBER(K285),ISNUMBER(Q285),K285&gt;0),Q285/K285,"")</f>
        <v/>
      </c>
      <c r="S285" s="11"/>
      <c r="T285" s="9"/>
      <c r="U285" s="10"/>
      <c r="V285" s="11"/>
      <c r="W285" s="11"/>
      <c r="X285" s="11"/>
      <c r="Y285" s="12" t="str">
        <f aca="false">IF(COUNT(V285:X285)=0,"",MAX(0,1-SUM(V285:X285)))</f>
        <v/>
      </c>
      <c r="Z285" s="13"/>
      <c r="AA285" s="9"/>
      <c r="AB285" s="7"/>
      <c r="AC285" s="7"/>
      <c r="AD285" s="7"/>
      <c r="AE285" s="7"/>
      <c r="AF285" s="14" t="str">
        <f aca="false">IF(D285="","",COUNTIF($D$2:D285,D285))</f>
        <v/>
      </c>
      <c r="AG285" s="15" t="str">
        <f aca="false" t="array" ref="AG285:AG285">IF(D285="","",IFERROR(MEDIAN(IF(($D$2:$D$401=D285)*($AF$2:$AF$401&gt;=AF285-5)*($AF$2:$AF$401&lt;=AF285-1)*($M$2:$M$401&lt;&gt;""),$M$2:$M$401)),""))</f>
        <v/>
      </c>
      <c r="AH285" s="16" t="str">
        <f aca="false">IF(AND(ISNUMBER(M285),ISNUMBER(AG285)),IF(AG285&gt;0,M285/AG285,""),"")</f>
        <v/>
      </c>
      <c r="AI285" s="15" t="str">
        <f aca="false" t="array" ref="AI285:AI285">IF(D285="","",IFERROR(MEDIAN(IF(($D$2:$D$401=D285)*($AF$2:$AF$401&gt;=AF285-5)*($AF$2:$AF$401&lt;=AF285-1)*($N$2:$N$401&lt;&gt;""),$N$2:$N$401)),""))</f>
        <v/>
      </c>
      <c r="AJ285" s="16" t="str">
        <f aca="false">IF(AND(ISNUMBER(N285),ISNUMBER(AI285)),IF(AI285&gt;0,N285/AI285,""),"")</f>
        <v/>
      </c>
      <c r="AK285" s="12" t="str">
        <f aca="false" t="array" ref="AK285:AK285">IF(D285="","",IFERROR(MEDIAN(IF(($D$2:$D$401=D285)*ISNUMBER($R$2:$R$401),$R$2:$R$401)),""))</f>
        <v/>
      </c>
      <c r="AL285" s="17" t="str">
        <f aca="false">IF(ISNUMBER(AJ285),IF(AND(AJ285&gt;=Resumen!$C$5,OR(NOT(ISNUMBER(R285)),NOT(ISNUMBER(AK285)),R285&gt;=AK285)),"Ganador",IF(AJ285&lt;=Resumen!$C$6,"Perdedor","Normal")),IF(ISNUMBER(AH285),IF(AH285&gt;=Resumen!$C$5,"Ganador (7 d, provisional)",IF(AH285&lt;=Resumen!$C$6,"Perdedor (7 d, provisional)","Normal (7 d, provisional)")),""))</f>
        <v/>
      </c>
      <c r="AM285" s="18" t="str">
        <f aca="false">IF(AND(ISNUMBER(Z285),ISNUMBER(N285)),IF(N285&gt;0,Z285/N285*1000,""),"")</f>
        <v/>
      </c>
      <c r="AN285" s="19" t="str">
        <f aca="false">IF(AND(ISNUMBER(U285),ISNUMBER(N285)),IF(N285&gt;0,U285/N285*1000,""),"")</f>
        <v/>
      </c>
    </row>
    <row r="286" customFormat="false" ht="15" hidden="false" customHeight="false" outlineLevel="0" collapsed="false">
      <c r="A286" s="7"/>
      <c r="B286" s="7"/>
      <c r="C286" s="8"/>
      <c r="D286" s="7"/>
      <c r="E286" s="7"/>
      <c r="F286" s="7"/>
      <c r="G286" s="7"/>
      <c r="H286" s="7"/>
      <c r="I286" s="7"/>
      <c r="J286" s="7"/>
      <c r="K286" s="9"/>
      <c r="L286" s="10"/>
      <c r="M286" s="10"/>
      <c r="N286" s="10"/>
      <c r="O286" s="10"/>
      <c r="P286" s="11"/>
      <c r="Q286" s="9"/>
      <c r="R286" s="12" t="str">
        <f aca="false">IF(AND(ISNUMBER(K286),ISNUMBER(Q286),K286&gt;0),Q286/K286,"")</f>
        <v/>
      </c>
      <c r="S286" s="11"/>
      <c r="T286" s="9"/>
      <c r="U286" s="10"/>
      <c r="V286" s="11"/>
      <c r="W286" s="11"/>
      <c r="X286" s="11"/>
      <c r="Y286" s="12" t="str">
        <f aca="false">IF(COUNT(V286:X286)=0,"",MAX(0,1-SUM(V286:X286)))</f>
        <v/>
      </c>
      <c r="Z286" s="13"/>
      <c r="AA286" s="9"/>
      <c r="AB286" s="7"/>
      <c r="AC286" s="7"/>
      <c r="AD286" s="7"/>
      <c r="AE286" s="7"/>
      <c r="AF286" s="14" t="str">
        <f aca="false">IF(D286="","",COUNTIF($D$2:D286,D286))</f>
        <v/>
      </c>
      <c r="AG286" s="15" t="str">
        <f aca="false" t="array" ref="AG286:AG286">IF(D286="","",IFERROR(MEDIAN(IF(($D$2:$D$401=D286)*($AF$2:$AF$401&gt;=AF286-5)*($AF$2:$AF$401&lt;=AF286-1)*($M$2:$M$401&lt;&gt;""),$M$2:$M$401)),""))</f>
        <v/>
      </c>
      <c r="AH286" s="16" t="str">
        <f aca="false">IF(AND(ISNUMBER(M286),ISNUMBER(AG286)),IF(AG286&gt;0,M286/AG286,""),"")</f>
        <v/>
      </c>
      <c r="AI286" s="15" t="str">
        <f aca="false" t="array" ref="AI286:AI286">IF(D286="","",IFERROR(MEDIAN(IF(($D$2:$D$401=D286)*($AF$2:$AF$401&gt;=AF286-5)*($AF$2:$AF$401&lt;=AF286-1)*($N$2:$N$401&lt;&gt;""),$N$2:$N$401)),""))</f>
        <v/>
      </c>
      <c r="AJ286" s="16" t="str">
        <f aca="false">IF(AND(ISNUMBER(N286),ISNUMBER(AI286)),IF(AI286&gt;0,N286/AI286,""),"")</f>
        <v/>
      </c>
      <c r="AK286" s="12" t="str">
        <f aca="false" t="array" ref="AK286:AK286">IF(D286="","",IFERROR(MEDIAN(IF(($D$2:$D$401=D286)*ISNUMBER($R$2:$R$401),$R$2:$R$401)),""))</f>
        <v/>
      </c>
      <c r="AL286" s="17" t="str">
        <f aca="false">IF(ISNUMBER(AJ286),IF(AND(AJ286&gt;=Resumen!$C$5,OR(NOT(ISNUMBER(R286)),NOT(ISNUMBER(AK286)),R286&gt;=AK286)),"Ganador",IF(AJ286&lt;=Resumen!$C$6,"Perdedor","Normal")),IF(ISNUMBER(AH286),IF(AH286&gt;=Resumen!$C$5,"Ganador (7 d, provisional)",IF(AH286&lt;=Resumen!$C$6,"Perdedor (7 d, provisional)","Normal (7 d, provisional)")),""))</f>
        <v/>
      </c>
      <c r="AM286" s="18" t="str">
        <f aca="false">IF(AND(ISNUMBER(Z286),ISNUMBER(N286)),IF(N286&gt;0,Z286/N286*1000,""),"")</f>
        <v/>
      </c>
      <c r="AN286" s="19" t="str">
        <f aca="false">IF(AND(ISNUMBER(U286),ISNUMBER(N286)),IF(N286&gt;0,U286/N286*1000,""),"")</f>
        <v/>
      </c>
    </row>
    <row r="287" customFormat="false" ht="15" hidden="false" customHeight="false" outlineLevel="0" collapsed="false">
      <c r="A287" s="7"/>
      <c r="B287" s="7"/>
      <c r="C287" s="8"/>
      <c r="D287" s="7"/>
      <c r="E287" s="7"/>
      <c r="F287" s="7"/>
      <c r="G287" s="7"/>
      <c r="H287" s="7"/>
      <c r="I287" s="7"/>
      <c r="J287" s="7"/>
      <c r="K287" s="9"/>
      <c r="L287" s="10"/>
      <c r="M287" s="10"/>
      <c r="N287" s="10"/>
      <c r="O287" s="10"/>
      <c r="P287" s="11"/>
      <c r="Q287" s="9"/>
      <c r="R287" s="12" t="str">
        <f aca="false">IF(AND(ISNUMBER(K287),ISNUMBER(Q287),K287&gt;0),Q287/K287,"")</f>
        <v/>
      </c>
      <c r="S287" s="11"/>
      <c r="T287" s="9"/>
      <c r="U287" s="10"/>
      <c r="V287" s="11"/>
      <c r="W287" s="11"/>
      <c r="X287" s="11"/>
      <c r="Y287" s="12" t="str">
        <f aca="false">IF(COUNT(V287:X287)=0,"",MAX(0,1-SUM(V287:X287)))</f>
        <v/>
      </c>
      <c r="Z287" s="13"/>
      <c r="AA287" s="9"/>
      <c r="AB287" s="7"/>
      <c r="AC287" s="7"/>
      <c r="AD287" s="7"/>
      <c r="AE287" s="7"/>
      <c r="AF287" s="14" t="str">
        <f aca="false">IF(D287="","",COUNTIF($D$2:D287,D287))</f>
        <v/>
      </c>
      <c r="AG287" s="15" t="str">
        <f aca="false" t="array" ref="AG287:AG287">IF(D287="","",IFERROR(MEDIAN(IF(($D$2:$D$401=D287)*($AF$2:$AF$401&gt;=AF287-5)*($AF$2:$AF$401&lt;=AF287-1)*($M$2:$M$401&lt;&gt;""),$M$2:$M$401)),""))</f>
        <v/>
      </c>
      <c r="AH287" s="16" t="str">
        <f aca="false">IF(AND(ISNUMBER(M287),ISNUMBER(AG287)),IF(AG287&gt;0,M287/AG287,""),"")</f>
        <v/>
      </c>
      <c r="AI287" s="15" t="str">
        <f aca="false" t="array" ref="AI287:AI287">IF(D287="","",IFERROR(MEDIAN(IF(($D$2:$D$401=D287)*($AF$2:$AF$401&gt;=AF287-5)*($AF$2:$AF$401&lt;=AF287-1)*($N$2:$N$401&lt;&gt;""),$N$2:$N$401)),""))</f>
        <v/>
      </c>
      <c r="AJ287" s="16" t="str">
        <f aca="false">IF(AND(ISNUMBER(N287),ISNUMBER(AI287)),IF(AI287&gt;0,N287/AI287,""),"")</f>
        <v/>
      </c>
      <c r="AK287" s="12" t="str">
        <f aca="false" t="array" ref="AK287:AK287">IF(D287="","",IFERROR(MEDIAN(IF(($D$2:$D$401=D287)*ISNUMBER($R$2:$R$401),$R$2:$R$401)),""))</f>
        <v/>
      </c>
      <c r="AL287" s="17" t="str">
        <f aca="false">IF(ISNUMBER(AJ287),IF(AND(AJ287&gt;=Resumen!$C$5,OR(NOT(ISNUMBER(R287)),NOT(ISNUMBER(AK287)),R287&gt;=AK287)),"Ganador",IF(AJ287&lt;=Resumen!$C$6,"Perdedor","Normal")),IF(ISNUMBER(AH287),IF(AH287&gt;=Resumen!$C$5,"Ganador (7 d, provisional)",IF(AH287&lt;=Resumen!$C$6,"Perdedor (7 d, provisional)","Normal (7 d, provisional)")),""))</f>
        <v/>
      </c>
      <c r="AM287" s="18" t="str">
        <f aca="false">IF(AND(ISNUMBER(Z287),ISNUMBER(N287)),IF(N287&gt;0,Z287/N287*1000,""),"")</f>
        <v/>
      </c>
      <c r="AN287" s="19" t="str">
        <f aca="false">IF(AND(ISNUMBER(U287),ISNUMBER(N287)),IF(N287&gt;0,U287/N287*1000,""),"")</f>
        <v/>
      </c>
    </row>
    <row r="288" customFormat="false" ht="15" hidden="false" customHeight="false" outlineLevel="0" collapsed="false">
      <c r="A288" s="7"/>
      <c r="B288" s="7"/>
      <c r="C288" s="8"/>
      <c r="D288" s="7"/>
      <c r="E288" s="7"/>
      <c r="F288" s="7"/>
      <c r="G288" s="7"/>
      <c r="H288" s="7"/>
      <c r="I288" s="7"/>
      <c r="J288" s="7"/>
      <c r="K288" s="9"/>
      <c r="L288" s="10"/>
      <c r="M288" s="10"/>
      <c r="N288" s="10"/>
      <c r="O288" s="10"/>
      <c r="P288" s="11"/>
      <c r="Q288" s="9"/>
      <c r="R288" s="12" t="str">
        <f aca="false">IF(AND(ISNUMBER(K288),ISNUMBER(Q288),K288&gt;0),Q288/K288,"")</f>
        <v/>
      </c>
      <c r="S288" s="11"/>
      <c r="T288" s="9"/>
      <c r="U288" s="10"/>
      <c r="V288" s="11"/>
      <c r="W288" s="11"/>
      <c r="X288" s="11"/>
      <c r="Y288" s="12" t="str">
        <f aca="false">IF(COUNT(V288:X288)=0,"",MAX(0,1-SUM(V288:X288)))</f>
        <v/>
      </c>
      <c r="Z288" s="13"/>
      <c r="AA288" s="9"/>
      <c r="AB288" s="7"/>
      <c r="AC288" s="7"/>
      <c r="AD288" s="7"/>
      <c r="AE288" s="7"/>
      <c r="AF288" s="14" t="str">
        <f aca="false">IF(D288="","",COUNTIF($D$2:D288,D288))</f>
        <v/>
      </c>
      <c r="AG288" s="15" t="str">
        <f aca="false" t="array" ref="AG288:AG288">IF(D288="","",IFERROR(MEDIAN(IF(($D$2:$D$401=D288)*($AF$2:$AF$401&gt;=AF288-5)*($AF$2:$AF$401&lt;=AF288-1)*($M$2:$M$401&lt;&gt;""),$M$2:$M$401)),""))</f>
        <v/>
      </c>
      <c r="AH288" s="16" t="str">
        <f aca="false">IF(AND(ISNUMBER(M288),ISNUMBER(AG288)),IF(AG288&gt;0,M288/AG288,""),"")</f>
        <v/>
      </c>
      <c r="AI288" s="15" t="str">
        <f aca="false" t="array" ref="AI288:AI288">IF(D288="","",IFERROR(MEDIAN(IF(($D$2:$D$401=D288)*($AF$2:$AF$401&gt;=AF288-5)*($AF$2:$AF$401&lt;=AF288-1)*($N$2:$N$401&lt;&gt;""),$N$2:$N$401)),""))</f>
        <v/>
      </c>
      <c r="AJ288" s="16" t="str">
        <f aca="false">IF(AND(ISNUMBER(N288),ISNUMBER(AI288)),IF(AI288&gt;0,N288/AI288,""),"")</f>
        <v/>
      </c>
      <c r="AK288" s="12" t="str">
        <f aca="false" t="array" ref="AK288:AK288">IF(D288="","",IFERROR(MEDIAN(IF(($D$2:$D$401=D288)*ISNUMBER($R$2:$R$401),$R$2:$R$401)),""))</f>
        <v/>
      </c>
      <c r="AL288" s="17" t="str">
        <f aca="false">IF(ISNUMBER(AJ288),IF(AND(AJ288&gt;=Resumen!$C$5,OR(NOT(ISNUMBER(R288)),NOT(ISNUMBER(AK288)),R288&gt;=AK288)),"Ganador",IF(AJ288&lt;=Resumen!$C$6,"Perdedor","Normal")),IF(ISNUMBER(AH288),IF(AH288&gt;=Resumen!$C$5,"Ganador (7 d, provisional)",IF(AH288&lt;=Resumen!$C$6,"Perdedor (7 d, provisional)","Normal (7 d, provisional)")),""))</f>
        <v/>
      </c>
      <c r="AM288" s="18" t="str">
        <f aca="false">IF(AND(ISNUMBER(Z288),ISNUMBER(N288)),IF(N288&gt;0,Z288/N288*1000,""),"")</f>
        <v/>
      </c>
      <c r="AN288" s="19" t="str">
        <f aca="false">IF(AND(ISNUMBER(U288),ISNUMBER(N288)),IF(N288&gt;0,U288/N288*1000,""),"")</f>
        <v/>
      </c>
    </row>
    <row r="289" customFormat="false" ht="15" hidden="false" customHeight="false" outlineLevel="0" collapsed="false">
      <c r="A289" s="7"/>
      <c r="B289" s="7"/>
      <c r="C289" s="8"/>
      <c r="D289" s="7"/>
      <c r="E289" s="7"/>
      <c r="F289" s="7"/>
      <c r="G289" s="7"/>
      <c r="H289" s="7"/>
      <c r="I289" s="7"/>
      <c r="J289" s="7"/>
      <c r="K289" s="9"/>
      <c r="L289" s="10"/>
      <c r="M289" s="10"/>
      <c r="N289" s="10"/>
      <c r="O289" s="10"/>
      <c r="P289" s="11"/>
      <c r="Q289" s="9"/>
      <c r="R289" s="12" t="str">
        <f aca="false">IF(AND(ISNUMBER(K289),ISNUMBER(Q289),K289&gt;0),Q289/K289,"")</f>
        <v/>
      </c>
      <c r="S289" s="11"/>
      <c r="T289" s="9"/>
      <c r="U289" s="10"/>
      <c r="V289" s="11"/>
      <c r="W289" s="11"/>
      <c r="X289" s="11"/>
      <c r="Y289" s="12" t="str">
        <f aca="false">IF(COUNT(V289:X289)=0,"",MAX(0,1-SUM(V289:X289)))</f>
        <v/>
      </c>
      <c r="Z289" s="13"/>
      <c r="AA289" s="9"/>
      <c r="AB289" s="7"/>
      <c r="AC289" s="7"/>
      <c r="AD289" s="7"/>
      <c r="AE289" s="7"/>
      <c r="AF289" s="14" t="str">
        <f aca="false">IF(D289="","",COUNTIF($D$2:D289,D289))</f>
        <v/>
      </c>
      <c r="AG289" s="15" t="str">
        <f aca="false" t="array" ref="AG289:AG289">IF(D289="","",IFERROR(MEDIAN(IF(($D$2:$D$401=D289)*($AF$2:$AF$401&gt;=AF289-5)*($AF$2:$AF$401&lt;=AF289-1)*($M$2:$M$401&lt;&gt;""),$M$2:$M$401)),""))</f>
        <v/>
      </c>
      <c r="AH289" s="16" t="str">
        <f aca="false">IF(AND(ISNUMBER(M289),ISNUMBER(AG289)),IF(AG289&gt;0,M289/AG289,""),"")</f>
        <v/>
      </c>
      <c r="AI289" s="15" t="str">
        <f aca="false" t="array" ref="AI289:AI289">IF(D289="","",IFERROR(MEDIAN(IF(($D$2:$D$401=D289)*($AF$2:$AF$401&gt;=AF289-5)*($AF$2:$AF$401&lt;=AF289-1)*($N$2:$N$401&lt;&gt;""),$N$2:$N$401)),""))</f>
        <v/>
      </c>
      <c r="AJ289" s="16" t="str">
        <f aca="false">IF(AND(ISNUMBER(N289),ISNUMBER(AI289)),IF(AI289&gt;0,N289/AI289,""),"")</f>
        <v/>
      </c>
      <c r="AK289" s="12" t="str">
        <f aca="false" t="array" ref="AK289:AK289">IF(D289="","",IFERROR(MEDIAN(IF(($D$2:$D$401=D289)*ISNUMBER($R$2:$R$401),$R$2:$R$401)),""))</f>
        <v/>
      </c>
      <c r="AL289" s="17" t="str">
        <f aca="false">IF(ISNUMBER(AJ289),IF(AND(AJ289&gt;=Resumen!$C$5,OR(NOT(ISNUMBER(R289)),NOT(ISNUMBER(AK289)),R289&gt;=AK289)),"Ganador",IF(AJ289&lt;=Resumen!$C$6,"Perdedor","Normal")),IF(ISNUMBER(AH289),IF(AH289&gt;=Resumen!$C$5,"Ganador (7 d, provisional)",IF(AH289&lt;=Resumen!$C$6,"Perdedor (7 d, provisional)","Normal (7 d, provisional)")),""))</f>
        <v/>
      </c>
      <c r="AM289" s="18" t="str">
        <f aca="false">IF(AND(ISNUMBER(Z289),ISNUMBER(N289)),IF(N289&gt;0,Z289/N289*1000,""),"")</f>
        <v/>
      </c>
      <c r="AN289" s="19" t="str">
        <f aca="false">IF(AND(ISNUMBER(U289),ISNUMBER(N289)),IF(N289&gt;0,U289/N289*1000,""),"")</f>
        <v/>
      </c>
    </row>
    <row r="290" customFormat="false" ht="15" hidden="false" customHeight="false" outlineLevel="0" collapsed="false">
      <c r="A290" s="7"/>
      <c r="B290" s="7"/>
      <c r="C290" s="8"/>
      <c r="D290" s="7"/>
      <c r="E290" s="7"/>
      <c r="F290" s="7"/>
      <c r="G290" s="7"/>
      <c r="H290" s="7"/>
      <c r="I290" s="7"/>
      <c r="J290" s="7"/>
      <c r="K290" s="9"/>
      <c r="L290" s="10"/>
      <c r="M290" s="10"/>
      <c r="N290" s="10"/>
      <c r="O290" s="10"/>
      <c r="P290" s="11"/>
      <c r="Q290" s="9"/>
      <c r="R290" s="12" t="str">
        <f aca="false">IF(AND(ISNUMBER(K290),ISNUMBER(Q290),K290&gt;0),Q290/K290,"")</f>
        <v/>
      </c>
      <c r="S290" s="11"/>
      <c r="T290" s="9"/>
      <c r="U290" s="10"/>
      <c r="V290" s="11"/>
      <c r="W290" s="11"/>
      <c r="X290" s="11"/>
      <c r="Y290" s="12" t="str">
        <f aca="false">IF(COUNT(V290:X290)=0,"",MAX(0,1-SUM(V290:X290)))</f>
        <v/>
      </c>
      <c r="Z290" s="13"/>
      <c r="AA290" s="9"/>
      <c r="AB290" s="7"/>
      <c r="AC290" s="7"/>
      <c r="AD290" s="7"/>
      <c r="AE290" s="7"/>
      <c r="AF290" s="14" t="str">
        <f aca="false">IF(D290="","",COUNTIF($D$2:D290,D290))</f>
        <v/>
      </c>
      <c r="AG290" s="15" t="str">
        <f aca="false" t="array" ref="AG290:AG290">IF(D290="","",IFERROR(MEDIAN(IF(($D$2:$D$401=D290)*($AF$2:$AF$401&gt;=AF290-5)*($AF$2:$AF$401&lt;=AF290-1)*($M$2:$M$401&lt;&gt;""),$M$2:$M$401)),""))</f>
        <v/>
      </c>
      <c r="AH290" s="16" t="str">
        <f aca="false">IF(AND(ISNUMBER(M290),ISNUMBER(AG290)),IF(AG290&gt;0,M290/AG290,""),"")</f>
        <v/>
      </c>
      <c r="AI290" s="15" t="str">
        <f aca="false" t="array" ref="AI290:AI290">IF(D290="","",IFERROR(MEDIAN(IF(($D$2:$D$401=D290)*($AF$2:$AF$401&gt;=AF290-5)*($AF$2:$AF$401&lt;=AF290-1)*($N$2:$N$401&lt;&gt;""),$N$2:$N$401)),""))</f>
        <v/>
      </c>
      <c r="AJ290" s="16" t="str">
        <f aca="false">IF(AND(ISNUMBER(N290),ISNUMBER(AI290)),IF(AI290&gt;0,N290/AI290,""),"")</f>
        <v/>
      </c>
      <c r="AK290" s="12" t="str">
        <f aca="false" t="array" ref="AK290:AK290">IF(D290="","",IFERROR(MEDIAN(IF(($D$2:$D$401=D290)*ISNUMBER($R$2:$R$401),$R$2:$R$401)),""))</f>
        <v/>
      </c>
      <c r="AL290" s="17" t="str">
        <f aca="false">IF(ISNUMBER(AJ290),IF(AND(AJ290&gt;=Resumen!$C$5,OR(NOT(ISNUMBER(R290)),NOT(ISNUMBER(AK290)),R290&gt;=AK290)),"Ganador",IF(AJ290&lt;=Resumen!$C$6,"Perdedor","Normal")),IF(ISNUMBER(AH290),IF(AH290&gt;=Resumen!$C$5,"Ganador (7 d, provisional)",IF(AH290&lt;=Resumen!$C$6,"Perdedor (7 d, provisional)","Normal (7 d, provisional)")),""))</f>
        <v/>
      </c>
      <c r="AM290" s="18" t="str">
        <f aca="false">IF(AND(ISNUMBER(Z290),ISNUMBER(N290)),IF(N290&gt;0,Z290/N290*1000,""),"")</f>
        <v/>
      </c>
      <c r="AN290" s="19" t="str">
        <f aca="false">IF(AND(ISNUMBER(U290),ISNUMBER(N290)),IF(N290&gt;0,U290/N290*1000,""),"")</f>
        <v/>
      </c>
    </row>
    <row r="291" customFormat="false" ht="15" hidden="false" customHeight="false" outlineLevel="0" collapsed="false">
      <c r="A291" s="7"/>
      <c r="B291" s="7"/>
      <c r="C291" s="8"/>
      <c r="D291" s="7"/>
      <c r="E291" s="7"/>
      <c r="F291" s="7"/>
      <c r="G291" s="7"/>
      <c r="H291" s="7"/>
      <c r="I291" s="7"/>
      <c r="J291" s="7"/>
      <c r="K291" s="9"/>
      <c r="L291" s="10"/>
      <c r="M291" s="10"/>
      <c r="N291" s="10"/>
      <c r="O291" s="10"/>
      <c r="P291" s="11"/>
      <c r="Q291" s="9"/>
      <c r="R291" s="12" t="str">
        <f aca="false">IF(AND(ISNUMBER(K291),ISNUMBER(Q291),K291&gt;0),Q291/K291,"")</f>
        <v/>
      </c>
      <c r="S291" s="11"/>
      <c r="T291" s="9"/>
      <c r="U291" s="10"/>
      <c r="V291" s="11"/>
      <c r="W291" s="11"/>
      <c r="X291" s="11"/>
      <c r="Y291" s="12" t="str">
        <f aca="false">IF(COUNT(V291:X291)=0,"",MAX(0,1-SUM(V291:X291)))</f>
        <v/>
      </c>
      <c r="Z291" s="13"/>
      <c r="AA291" s="9"/>
      <c r="AB291" s="7"/>
      <c r="AC291" s="7"/>
      <c r="AD291" s="7"/>
      <c r="AE291" s="7"/>
      <c r="AF291" s="14" t="str">
        <f aca="false">IF(D291="","",COUNTIF($D$2:D291,D291))</f>
        <v/>
      </c>
      <c r="AG291" s="15" t="str">
        <f aca="false" t="array" ref="AG291:AG291">IF(D291="","",IFERROR(MEDIAN(IF(($D$2:$D$401=D291)*($AF$2:$AF$401&gt;=AF291-5)*($AF$2:$AF$401&lt;=AF291-1)*($M$2:$M$401&lt;&gt;""),$M$2:$M$401)),""))</f>
        <v/>
      </c>
      <c r="AH291" s="16" t="str">
        <f aca="false">IF(AND(ISNUMBER(M291),ISNUMBER(AG291)),IF(AG291&gt;0,M291/AG291,""),"")</f>
        <v/>
      </c>
      <c r="AI291" s="15" t="str">
        <f aca="false" t="array" ref="AI291:AI291">IF(D291="","",IFERROR(MEDIAN(IF(($D$2:$D$401=D291)*($AF$2:$AF$401&gt;=AF291-5)*($AF$2:$AF$401&lt;=AF291-1)*($N$2:$N$401&lt;&gt;""),$N$2:$N$401)),""))</f>
        <v/>
      </c>
      <c r="AJ291" s="16" t="str">
        <f aca="false">IF(AND(ISNUMBER(N291),ISNUMBER(AI291)),IF(AI291&gt;0,N291/AI291,""),"")</f>
        <v/>
      </c>
      <c r="AK291" s="12" t="str">
        <f aca="false" t="array" ref="AK291:AK291">IF(D291="","",IFERROR(MEDIAN(IF(($D$2:$D$401=D291)*ISNUMBER($R$2:$R$401),$R$2:$R$401)),""))</f>
        <v/>
      </c>
      <c r="AL291" s="17" t="str">
        <f aca="false">IF(ISNUMBER(AJ291),IF(AND(AJ291&gt;=Resumen!$C$5,OR(NOT(ISNUMBER(R291)),NOT(ISNUMBER(AK291)),R291&gt;=AK291)),"Ganador",IF(AJ291&lt;=Resumen!$C$6,"Perdedor","Normal")),IF(ISNUMBER(AH291),IF(AH291&gt;=Resumen!$C$5,"Ganador (7 d, provisional)",IF(AH291&lt;=Resumen!$C$6,"Perdedor (7 d, provisional)","Normal (7 d, provisional)")),""))</f>
        <v/>
      </c>
      <c r="AM291" s="18" t="str">
        <f aca="false">IF(AND(ISNUMBER(Z291),ISNUMBER(N291)),IF(N291&gt;0,Z291/N291*1000,""),"")</f>
        <v/>
      </c>
      <c r="AN291" s="19" t="str">
        <f aca="false">IF(AND(ISNUMBER(U291),ISNUMBER(N291)),IF(N291&gt;0,U291/N291*1000,""),"")</f>
        <v/>
      </c>
    </row>
    <row r="292" customFormat="false" ht="15" hidden="false" customHeight="false" outlineLevel="0" collapsed="false">
      <c r="A292" s="7"/>
      <c r="B292" s="7"/>
      <c r="C292" s="8"/>
      <c r="D292" s="7"/>
      <c r="E292" s="7"/>
      <c r="F292" s="7"/>
      <c r="G292" s="7"/>
      <c r="H292" s="7"/>
      <c r="I292" s="7"/>
      <c r="J292" s="7"/>
      <c r="K292" s="9"/>
      <c r="L292" s="10"/>
      <c r="M292" s="10"/>
      <c r="N292" s="10"/>
      <c r="O292" s="10"/>
      <c r="P292" s="11"/>
      <c r="Q292" s="9"/>
      <c r="R292" s="12" t="str">
        <f aca="false">IF(AND(ISNUMBER(K292),ISNUMBER(Q292),K292&gt;0),Q292/K292,"")</f>
        <v/>
      </c>
      <c r="S292" s="11"/>
      <c r="T292" s="9"/>
      <c r="U292" s="10"/>
      <c r="V292" s="11"/>
      <c r="W292" s="11"/>
      <c r="X292" s="11"/>
      <c r="Y292" s="12" t="str">
        <f aca="false">IF(COUNT(V292:X292)=0,"",MAX(0,1-SUM(V292:X292)))</f>
        <v/>
      </c>
      <c r="Z292" s="13"/>
      <c r="AA292" s="9"/>
      <c r="AB292" s="7"/>
      <c r="AC292" s="7"/>
      <c r="AD292" s="7"/>
      <c r="AE292" s="7"/>
      <c r="AF292" s="14" t="str">
        <f aca="false">IF(D292="","",COUNTIF($D$2:D292,D292))</f>
        <v/>
      </c>
      <c r="AG292" s="15" t="str">
        <f aca="false" t="array" ref="AG292:AG292">IF(D292="","",IFERROR(MEDIAN(IF(($D$2:$D$401=D292)*($AF$2:$AF$401&gt;=AF292-5)*($AF$2:$AF$401&lt;=AF292-1)*($M$2:$M$401&lt;&gt;""),$M$2:$M$401)),""))</f>
        <v/>
      </c>
      <c r="AH292" s="16" t="str">
        <f aca="false">IF(AND(ISNUMBER(M292),ISNUMBER(AG292)),IF(AG292&gt;0,M292/AG292,""),"")</f>
        <v/>
      </c>
      <c r="AI292" s="15" t="str">
        <f aca="false" t="array" ref="AI292:AI292">IF(D292="","",IFERROR(MEDIAN(IF(($D$2:$D$401=D292)*($AF$2:$AF$401&gt;=AF292-5)*($AF$2:$AF$401&lt;=AF292-1)*($N$2:$N$401&lt;&gt;""),$N$2:$N$401)),""))</f>
        <v/>
      </c>
      <c r="AJ292" s="16" t="str">
        <f aca="false">IF(AND(ISNUMBER(N292),ISNUMBER(AI292)),IF(AI292&gt;0,N292/AI292,""),"")</f>
        <v/>
      </c>
      <c r="AK292" s="12" t="str">
        <f aca="false" t="array" ref="AK292:AK292">IF(D292="","",IFERROR(MEDIAN(IF(($D$2:$D$401=D292)*ISNUMBER($R$2:$R$401),$R$2:$R$401)),""))</f>
        <v/>
      </c>
      <c r="AL292" s="17" t="str">
        <f aca="false">IF(ISNUMBER(AJ292),IF(AND(AJ292&gt;=Resumen!$C$5,OR(NOT(ISNUMBER(R292)),NOT(ISNUMBER(AK292)),R292&gt;=AK292)),"Ganador",IF(AJ292&lt;=Resumen!$C$6,"Perdedor","Normal")),IF(ISNUMBER(AH292),IF(AH292&gt;=Resumen!$C$5,"Ganador (7 d, provisional)",IF(AH292&lt;=Resumen!$C$6,"Perdedor (7 d, provisional)","Normal (7 d, provisional)")),""))</f>
        <v/>
      </c>
      <c r="AM292" s="18" t="str">
        <f aca="false">IF(AND(ISNUMBER(Z292),ISNUMBER(N292)),IF(N292&gt;0,Z292/N292*1000,""),"")</f>
        <v/>
      </c>
      <c r="AN292" s="19" t="str">
        <f aca="false">IF(AND(ISNUMBER(U292),ISNUMBER(N292)),IF(N292&gt;0,U292/N292*1000,""),"")</f>
        <v/>
      </c>
    </row>
    <row r="293" customFormat="false" ht="15" hidden="false" customHeight="false" outlineLevel="0" collapsed="false">
      <c r="A293" s="7"/>
      <c r="B293" s="7"/>
      <c r="C293" s="8"/>
      <c r="D293" s="7"/>
      <c r="E293" s="7"/>
      <c r="F293" s="7"/>
      <c r="G293" s="7"/>
      <c r="H293" s="7"/>
      <c r="I293" s="7"/>
      <c r="J293" s="7"/>
      <c r="K293" s="9"/>
      <c r="L293" s="10"/>
      <c r="M293" s="10"/>
      <c r="N293" s="10"/>
      <c r="O293" s="10"/>
      <c r="P293" s="11"/>
      <c r="Q293" s="9"/>
      <c r="R293" s="12" t="str">
        <f aca="false">IF(AND(ISNUMBER(K293),ISNUMBER(Q293),K293&gt;0),Q293/K293,"")</f>
        <v/>
      </c>
      <c r="S293" s="11"/>
      <c r="T293" s="9"/>
      <c r="U293" s="10"/>
      <c r="V293" s="11"/>
      <c r="W293" s="11"/>
      <c r="X293" s="11"/>
      <c r="Y293" s="12" t="str">
        <f aca="false">IF(COUNT(V293:X293)=0,"",MAX(0,1-SUM(V293:X293)))</f>
        <v/>
      </c>
      <c r="Z293" s="13"/>
      <c r="AA293" s="9"/>
      <c r="AB293" s="7"/>
      <c r="AC293" s="7"/>
      <c r="AD293" s="7"/>
      <c r="AE293" s="7"/>
      <c r="AF293" s="14" t="str">
        <f aca="false">IF(D293="","",COUNTIF($D$2:D293,D293))</f>
        <v/>
      </c>
      <c r="AG293" s="15" t="str">
        <f aca="false" t="array" ref="AG293:AG293">IF(D293="","",IFERROR(MEDIAN(IF(($D$2:$D$401=D293)*($AF$2:$AF$401&gt;=AF293-5)*($AF$2:$AF$401&lt;=AF293-1)*($M$2:$M$401&lt;&gt;""),$M$2:$M$401)),""))</f>
        <v/>
      </c>
      <c r="AH293" s="16" t="str">
        <f aca="false">IF(AND(ISNUMBER(M293),ISNUMBER(AG293)),IF(AG293&gt;0,M293/AG293,""),"")</f>
        <v/>
      </c>
      <c r="AI293" s="15" t="str">
        <f aca="false" t="array" ref="AI293:AI293">IF(D293="","",IFERROR(MEDIAN(IF(($D$2:$D$401=D293)*($AF$2:$AF$401&gt;=AF293-5)*($AF$2:$AF$401&lt;=AF293-1)*($N$2:$N$401&lt;&gt;""),$N$2:$N$401)),""))</f>
        <v/>
      </c>
      <c r="AJ293" s="16" t="str">
        <f aca="false">IF(AND(ISNUMBER(N293),ISNUMBER(AI293)),IF(AI293&gt;0,N293/AI293,""),"")</f>
        <v/>
      </c>
      <c r="AK293" s="12" t="str">
        <f aca="false" t="array" ref="AK293:AK293">IF(D293="","",IFERROR(MEDIAN(IF(($D$2:$D$401=D293)*ISNUMBER($R$2:$R$401),$R$2:$R$401)),""))</f>
        <v/>
      </c>
      <c r="AL293" s="17" t="str">
        <f aca="false">IF(ISNUMBER(AJ293),IF(AND(AJ293&gt;=Resumen!$C$5,OR(NOT(ISNUMBER(R293)),NOT(ISNUMBER(AK293)),R293&gt;=AK293)),"Ganador",IF(AJ293&lt;=Resumen!$C$6,"Perdedor","Normal")),IF(ISNUMBER(AH293),IF(AH293&gt;=Resumen!$C$5,"Ganador (7 d, provisional)",IF(AH293&lt;=Resumen!$C$6,"Perdedor (7 d, provisional)","Normal (7 d, provisional)")),""))</f>
        <v/>
      </c>
      <c r="AM293" s="18" t="str">
        <f aca="false">IF(AND(ISNUMBER(Z293),ISNUMBER(N293)),IF(N293&gt;0,Z293/N293*1000,""),"")</f>
        <v/>
      </c>
      <c r="AN293" s="19" t="str">
        <f aca="false">IF(AND(ISNUMBER(U293),ISNUMBER(N293)),IF(N293&gt;0,U293/N293*1000,""),"")</f>
        <v/>
      </c>
    </row>
    <row r="294" customFormat="false" ht="15" hidden="false" customHeight="false" outlineLevel="0" collapsed="false">
      <c r="A294" s="7"/>
      <c r="B294" s="7"/>
      <c r="C294" s="8"/>
      <c r="D294" s="7"/>
      <c r="E294" s="7"/>
      <c r="F294" s="7"/>
      <c r="G294" s="7"/>
      <c r="H294" s="7"/>
      <c r="I294" s="7"/>
      <c r="J294" s="7"/>
      <c r="K294" s="9"/>
      <c r="L294" s="10"/>
      <c r="M294" s="10"/>
      <c r="N294" s="10"/>
      <c r="O294" s="10"/>
      <c r="P294" s="11"/>
      <c r="Q294" s="9"/>
      <c r="R294" s="12" t="str">
        <f aca="false">IF(AND(ISNUMBER(K294),ISNUMBER(Q294),K294&gt;0),Q294/K294,"")</f>
        <v/>
      </c>
      <c r="S294" s="11"/>
      <c r="T294" s="9"/>
      <c r="U294" s="10"/>
      <c r="V294" s="11"/>
      <c r="W294" s="11"/>
      <c r="X294" s="11"/>
      <c r="Y294" s="12" t="str">
        <f aca="false">IF(COUNT(V294:X294)=0,"",MAX(0,1-SUM(V294:X294)))</f>
        <v/>
      </c>
      <c r="Z294" s="13"/>
      <c r="AA294" s="9"/>
      <c r="AB294" s="7"/>
      <c r="AC294" s="7"/>
      <c r="AD294" s="7"/>
      <c r="AE294" s="7"/>
      <c r="AF294" s="14" t="str">
        <f aca="false">IF(D294="","",COUNTIF($D$2:D294,D294))</f>
        <v/>
      </c>
      <c r="AG294" s="15" t="str">
        <f aca="false" t="array" ref="AG294:AG294">IF(D294="","",IFERROR(MEDIAN(IF(($D$2:$D$401=D294)*($AF$2:$AF$401&gt;=AF294-5)*($AF$2:$AF$401&lt;=AF294-1)*($M$2:$M$401&lt;&gt;""),$M$2:$M$401)),""))</f>
        <v/>
      </c>
      <c r="AH294" s="16" t="str">
        <f aca="false">IF(AND(ISNUMBER(M294),ISNUMBER(AG294)),IF(AG294&gt;0,M294/AG294,""),"")</f>
        <v/>
      </c>
      <c r="AI294" s="15" t="str">
        <f aca="false" t="array" ref="AI294:AI294">IF(D294="","",IFERROR(MEDIAN(IF(($D$2:$D$401=D294)*($AF$2:$AF$401&gt;=AF294-5)*($AF$2:$AF$401&lt;=AF294-1)*($N$2:$N$401&lt;&gt;""),$N$2:$N$401)),""))</f>
        <v/>
      </c>
      <c r="AJ294" s="16" t="str">
        <f aca="false">IF(AND(ISNUMBER(N294),ISNUMBER(AI294)),IF(AI294&gt;0,N294/AI294,""),"")</f>
        <v/>
      </c>
      <c r="AK294" s="12" t="str">
        <f aca="false" t="array" ref="AK294:AK294">IF(D294="","",IFERROR(MEDIAN(IF(($D$2:$D$401=D294)*ISNUMBER($R$2:$R$401),$R$2:$R$401)),""))</f>
        <v/>
      </c>
      <c r="AL294" s="17" t="str">
        <f aca="false">IF(ISNUMBER(AJ294),IF(AND(AJ294&gt;=Resumen!$C$5,OR(NOT(ISNUMBER(R294)),NOT(ISNUMBER(AK294)),R294&gt;=AK294)),"Ganador",IF(AJ294&lt;=Resumen!$C$6,"Perdedor","Normal")),IF(ISNUMBER(AH294),IF(AH294&gt;=Resumen!$C$5,"Ganador (7 d, provisional)",IF(AH294&lt;=Resumen!$C$6,"Perdedor (7 d, provisional)","Normal (7 d, provisional)")),""))</f>
        <v/>
      </c>
      <c r="AM294" s="18" t="str">
        <f aca="false">IF(AND(ISNUMBER(Z294),ISNUMBER(N294)),IF(N294&gt;0,Z294/N294*1000,""),"")</f>
        <v/>
      </c>
      <c r="AN294" s="19" t="str">
        <f aca="false">IF(AND(ISNUMBER(U294),ISNUMBER(N294)),IF(N294&gt;0,U294/N294*1000,""),"")</f>
        <v/>
      </c>
    </row>
    <row r="295" customFormat="false" ht="15" hidden="false" customHeight="false" outlineLevel="0" collapsed="false">
      <c r="A295" s="7"/>
      <c r="B295" s="7"/>
      <c r="C295" s="8"/>
      <c r="D295" s="7"/>
      <c r="E295" s="7"/>
      <c r="F295" s="7"/>
      <c r="G295" s="7"/>
      <c r="H295" s="7"/>
      <c r="I295" s="7"/>
      <c r="J295" s="7"/>
      <c r="K295" s="9"/>
      <c r="L295" s="10"/>
      <c r="M295" s="10"/>
      <c r="N295" s="10"/>
      <c r="O295" s="10"/>
      <c r="P295" s="11"/>
      <c r="Q295" s="9"/>
      <c r="R295" s="12" t="str">
        <f aca="false">IF(AND(ISNUMBER(K295),ISNUMBER(Q295),K295&gt;0),Q295/K295,"")</f>
        <v/>
      </c>
      <c r="S295" s="11"/>
      <c r="T295" s="9"/>
      <c r="U295" s="10"/>
      <c r="V295" s="11"/>
      <c r="W295" s="11"/>
      <c r="X295" s="11"/>
      <c r="Y295" s="12" t="str">
        <f aca="false">IF(COUNT(V295:X295)=0,"",MAX(0,1-SUM(V295:X295)))</f>
        <v/>
      </c>
      <c r="Z295" s="13"/>
      <c r="AA295" s="9"/>
      <c r="AB295" s="7"/>
      <c r="AC295" s="7"/>
      <c r="AD295" s="7"/>
      <c r="AE295" s="7"/>
      <c r="AF295" s="14" t="str">
        <f aca="false">IF(D295="","",COUNTIF($D$2:D295,D295))</f>
        <v/>
      </c>
      <c r="AG295" s="15" t="str">
        <f aca="false" t="array" ref="AG295:AG295">IF(D295="","",IFERROR(MEDIAN(IF(($D$2:$D$401=D295)*($AF$2:$AF$401&gt;=AF295-5)*($AF$2:$AF$401&lt;=AF295-1)*($M$2:$M$401&lt;&gt;""),$M$2:$M$401)),""))</f>
        <v/>
      </c>
      <c r="AH295" s="16" t="str">
        <f aca="false">IF(AND(ISNUMBER(M295),ISNUMBER(AG295)),IF(AG295&gt;0,M295/AG295,""),"")</f>
        <v/>
      </c>
      <c r="AI295" s="15" t="str">
        <f aca="false" t="array" ref="AI295:AI295">IF(D295="","",IFERROR(MEDIAN(IF(($D$2:$D$401=D295)*($AF$2:$AF$401&gt;=AF295-5)*($AF$2:$AF$401&lt;=AF295-1)*($N$2:$N$401&lt;&gt;""),$N$2:$N$401)),""))</f>
        <v/>
      </c>
      <c r="AJ295" s="16" t="str">
        <f aca="false">IF(AND(ISNUMBER(N295),ISNUMBER(AI295)),IF(AI295&gt;0,N295/AI295,""),"")</f>
        <v/>
      </c>
      <c r="AK295" s="12" t="str">
        <f aca="false" t="array" ref="AK295:AK295">IF(D295="","",IFERROR(MEDIAN(IF(($D$2:$D$401=D295)*ISNUMBER($R$2:$R$401),$R$2:$R$401)),""))</f>
        <v/>
      </c>
      <c r="AL295" s="17" t="str">
        <f aca="false">IF(ISNUMBER(AJ295),IF(AND(AJ295&gt;=Resumen!$C$5,OR(NOT(ISNUMBER(R295)),NOT(ISNUMBER(AK295)),R295&gt;=AK295)),"Ganador",IF(AJ295&lt;=Resumen!$C$6,"Perdedor","Normal")),IF(ISNUMBER(AH295),IF(AH295&gt;=Resumen!$C$5,"Ganador (7 d, provisional)",IF(AH295&lt;=Resumen!$C$6,"Perdedor (7 d, provisional)","Normal (7 d, provisional)")),""))</f>
        <v/>
      </c>
      <c r="AM295" s="18" t="str">
        <f aca="false">IF(AND(ISNUMBER(Z295),ISNUMBER(N295)),IF(N295&gt;0,Z295/N295*1000,""),"")</f>
        <v/>
      </c>
      <c r="AN295" s="19" t="str">
        <f aca="false">IF(AND(ISNUMBER(U295),ISNUMBER(N295)),IF(N295&gt;0,U295/N295*1000,""),"")</f>
        <v/>
      </c>
    </row>
    <row r="296" customFormat="false" ht="15" hidden="false" customHeight="false" outlineLevel="0" collapsed="false">
      <c r="A296" s="7"/>
      <c r="B296" s="7"/>
      <c r="C296" s="8"/>
      <c r="D296" s="7"/>
      <c r="E296" s="7"/>
      <c r="F296" s="7"/>
      <c r="G296" s="7"/>
      <c r="H296" s="7"/>
      <c r="I296" s="7"/>
      <c r="J296" s="7"/>
      <c r="K296" s="9"/>
      <c r="L296" s="10"/>
      <c r="M296" s="10"/>
      <c r="N296" s="10"/>
      <c r="O296" s="10"/>
      <c r="P296" s="11"/>
      <c r="Q296" s="9"/>
      <c r="R296" s="12" t="str">
        <f aca="false">IF(AND(ISNUMBER(K296),ISNUMBER(Q296),K296&gt;0),Q296/K296,"")</f>
        <v/>
      </c>
      <c r="S296" s="11"/>
      <c r="T296" s="9"/>
      <c r="U296" s="10"/>
      <c r="V296" s="11"/>
      <c r="W296" s="11"/>
      <c r="X296" s="11"/>
      <c r="Y296" s="12" t="str">
        <f aca="false">IF(COUNT(V296:X296)=0,"",MAX(0,1-SUM(V296:X296)))</f>
        <v/>
      </c>
      <c r="Z296" s="13"/>
      <c r="AA296" s="9"/>
      <c r="AB296" s="7"/>
      <c r="AC296" s="7"/>
      <c r="AD296" s="7"/>
      <c r="AE296" s="7"/>
      <c r="AF296" s="14" t="str">
        <f aca="false">IF(D296="","",COUNTIF($D$2:D296,D296))</f>
        <v/>
      </c>
      <c r="AG296" s="15" t="str">
        <f aca="false" t="array" ref="AG296:AG296">IF(D296="","",IFERROR(MEDIAN(IF(($D$2:$D$401=D296)*($AF$2:$AF$401&gt;=AF296-5)*($AF$2:$AF$401&lt;=AF296-1)*($M$2:$M$401&lt;&gt;""),$M$2:$M$401)),""))</f>
        <v/>
      </c>
      <c r="AH296" s="16" t="str">
        <f aca="false">IF(AND(ISNUMBER(M296),ISNUMBER(AG296)),IF(AG296&gt;0,M296/AG296,""),"")</f>
        <v/>
      </c>
      <c r="AI296" s="15" t="str">
        <f aca="false" t="array" ref="AI296:AI296">IF(D296="","",IFERROR(MEDIAN(IF(($D$2:$D$401=D296)*($AF$2:$AF$401&gt;=AF296-5)*($AF$2:$AF$401&lt;=AF296-1)*($N$2:$N$401&lt;&gt;""),$N$2:$N$401)),""))</f>
        <v/>
      </c>
      <c r="AJ296" s="16" t="str">
        <f aca="false">IF(AND(ISNUMBER(N296),ISNUMBER(AI296)),IF(AI296&gt;0,N296/AI296,""),"")</f>
        <v/>
      </c>
      <c r="AK296" s="12" t="str">
        <f aca="false" t="array" ref="AK296:AK296">IF(D296="","",IFERROR(MEDIAN(IF(($D$2:$D$401=D296)*ISNUMBER($R$2:$R$401),$R$2:$R$401)),""))</f>
        <v/>
      </c>
      <c r="AL296" s="17" t="str">
        <f aca="false">IF(ISNUMBER(AJ296),IF(AND(AJ296&gt;=Resumen!$C$5,OR(NOT(ISNUMBER(R296)),NOT(ISNUMBER(AK296)),R296&gt;=AK296)),"Ganador",IF(AJ296&lt;=Resumen!$C$6,"Perdedor","Normal")),IF(ISNUMBER(AH296),IF(AH296&gt;=Resumen!$C$5,"Ganador (7 d, provisional)",IF(AH296&lt;=Resumen!$C$6,"Perdedor (7 d, provisional)","Normal (7 d, provisional)")),""))</f>
        <v/>
      </c>
      <c r="AM296" s="18" t="str">
        <f aca="false">IF(AND(ISNUMBER(Z296),ISNUMBER(N296)),IF(N296&gt;0,Z296/N296*1000,""),"")</f>
        <v/>
      </c>
      <c r="AN296" s="19" t="str">
        <f aca="false">IF(AND(ISNUMBER(U296),ISNUMBER(N296)),IF(N296&gt;0,U296/N296*1000,""),"")</f>
        <v/>
      </c>
    </row>
    <row r="297" customFormat="false" ht="15" hidden="false" customHeight="false" outlineLevel="0" collapsed="false">
      <c r="A297" s="7"/>
      <c r="B297" s="7"/>
      <c r="C297" s="8"/>
      <c r="D297" s="7"/>
      <c r="E297" s="7"/>
      <c r="F297" s="7"/>
      <c r="G297" s="7"/>
      <c r="H297" s="7"/>
      <c r="I297" s="7"/>
      <c r="J297" s="7"/>
      <c r="K297" s="9"/>
      <c r="L297" s="10"/>
      <c r="M297" s="10"/>
      <c r="N297" s="10"/>
      <c r="O297" s="10"/>
      <c r="P297" s="11"/>
      <c r="Q297" s="9"/>
      <c r="R297" s="12" t="str">
        <f aca="false">IF(AND(ISNUMBER(K297),ISNUMBER(Q297),K297&gt;0),Q297/K297,"")</f>
        <v/>
      </c>
      <c r="S297" s="11"/>
      <c r="T297" s="9"/>
      <c r="U297" s="10"/>
      <c r="V297" s="11"/>
      <c r="W297" s="11"/>
      <c r="X297" s="11"/>
      <c r="Y297" s="12" t="str">
        <f aca="false">IF(COUNT(V297:X297)=0,"",MAX(0,1-SUM(V297:X297)))</f>
        <v/>
      </c>
      <c r="Z297" s="13"/>
      <c r="AA297" s="9"/>
      <c r="AB297" s="7"/>
      <c r="AC297" s="7"/>
      <c r="AD297" s="7"/>
      <c r="AE297" s="7"/>
      <c r="AF297" s="14" t="str">
        <f aca="false">IF(D297="","",COUNTIF($D$2:D297,D297))</f>
        <v/>
      </c>
      <c r="AG297" s="15" t="str">
        <f aca="false" t="array" ref="AG297:AG297">IF(D297="","",IFERROR(MEDIAN(IF(($D$2:$D$401=D297)*($AF$2:$AF$401&gt;=AF297-5)*($AF$2:$AF$401&lt;=AF297-1)*($M$2:$M$401&lt;&gt;""),$M$2:$M$401)),""))</f>
        <v/>
      </c>
      <c r="AH297" s="16" t="str">
        <f aca="false">IF(AND(ISNUMBER(M297),ISNUMBER(AG297)),IF(AG297&gt;0,M297/AG297,""),"")</f>
        <v/>
      </c>
      <c r="AI297" s="15" t="str">
        <f aca="false" t="array" ref="AI297:AI297">IF(D297="","",IFERROR(MEDIAN(IF(($D$2:$D$401=D297)*($AF$2:$AF$401&gt;=AF297-5)*($AF$2:$AF$401&lt;=AF297-1)*($N$2:$N$401&lt;&gt;""),$N$2:$N$401)),""))</f>
        <v/>
      </c>
      <c r="AJ297" s="16" t="str">
        <f aca="false">IF(AND(ISNUMBER(N297),ISNUMBER(AI297)),IF(AI297&gt;0,N297/AI297,""),"")</f>
        <v/>
      </c>
      <c r="AK297" s="12" t="str">
        <f aca="false" t="array" ref="AK297:AK297">IF(D297="","",IFERROR(MEDIAN(IF(($D$2:$D$401=D297)*ISNUMBER($R$2:$R$401),$R$2:$R$401)),""))</f>
        <v/>
      </c>
      <c r="AL297" s="17" t="str">
        <f aca="false">IF(ISNUMBER(AJ297),IF(AND(AJ297&gt;=Resumen!$C$5,OR(NOT(ISNUMBER(R297)),NOT(ISNUMBER(AK297)),R297&gt;=AK297)),"Ganador",IF(AJ297&lt;=Resumen!$C$6,"Perdedor","Normal")),IF(ISNUMBER(AH297),IF(AH297&gt;=Resumen!$C$5,"Ganador (7 d, provisional)",IF(AH297&lt;=Resumen!$C$6,"Perdedor (7 d, provisional)","Normal (7 d, provisional)")),""))</f>
        <v/>
      </c>
      <c r="AM297" s="18" t="str">
        <f aca="false">IF(AND(ISNUMBER(Z297),ISNUMBER(N297)),IF(N297&gt;0,Z297/N297*1000,""),"")</f>
        <v/>
      </c>
      <c r="AN297" s="19" t="str">
        <f aca="false">IF(AND(ISNUMBER(U297),ISNUMBER(N297)),IF(N297&gt;0,U297/N297*1000,""),"")</f>
        <v/>
      </c>
    </row>
    <row r="298" customFormat="false" ht="15" hidden="false" customHeight="false" outlineLevel="0" collapsed="false">
      <c r="A298" s="7"/>
      <c r="B298" s="7"/>
      <c r="C298" s="8"/>
      <c r="D298" s="7"/>
      <c r="E298" s="7"/>
      <c r="F298" s="7"/>
      <c r="G298" s="7"/>
      <c r="H298" s="7"/>
      <c r="I298" s="7"/>
      <c r="J298" s="7"/>
      <c r="K298" s="9"/>
      <c r="L298" s="10"/>
      <c r="M298" s="10"/>
      <c r="N298" s="10"/>
      <c r="O298" s="10"/>
      <c r="P298" s="11"/>
      <c r="Q298" s="9"/>
      <c r="R298" s="12" t="str">
        <f aca="false">IF(AND(ISNUMBER(K298),ISNUMBER(Q298),K298&gt;0),Q298/K298,"")</f>
        <v/>
      </c>
      <c r="S298" s="11"/>
      <c r="T298" s="9"/>
      <c r="U298" s="10"/>
      <c r="V298" s="11"/>
      <c r="W298" s="11"/>
      <c r="X298" s="11"/>
      <c r="Y298" s="12" t="str">
        <f aca="false">IF(COUNT(V298:X298)=0,"",MAX(0,1-SUM(V298:X298)))</f>
        <v/>
      </c>
      <c r="Z298" s="13"/>
      <c r="AA298" s="9"/>
      <c r="AB298" s="7"/>
      <c r="AC298" s="7"/>
      <c r="AD298" s="7"/>
      <c r="AE298" s="7"/>
      <c r="AF298" s="14" t="str">
        <f aca="false">IF(D298="","",COUNTIF($D$2:D298,D298))</f>
        <v/>
      </c>
      <c r="AG298" s="15" t="str">
        <f aca="false" t="array" ref="AG298:AG298">IF(D298="","",IFERROR(MEDIAN(IF(($D$2:$D$401=D298)*($AF$2:$AF$401&gt;=AF298-5)*($AF$2:$AF$401&lt;=AF298-1)*($M$2:$M$401&lt;&gt;""),$M$2:$M$401)),""))</f>
        <v/>
      </c>
      <c r="AH298" s="16" t="str">
        <f aca="false">IF(AND(ISNUMBER(M298),ISNUMBER(AG298)),IF(AG298&gt;0,M298/AG298,""),"")</f>
        <v/>
      </c>
      <c r="AI298" s="15" t="str">
        <f aca="false" t="array" ref="AI298:AI298">IF(D298="","",IFERROR(MEDIAN(IF(($D$2:$D$401=D298)*($AF$2:$AF$401&gt;=AF298-5)*($AF$2:$AF$401&lt;=AF298-1)*($N$2:$N$401&lt;&gt;""),$N$2:$N$401)),""))</f>
        <v/>
      </c>
      <c r="AJ298" s="16" t="str">
        <f aca="false">IF(AND(ISNUMBER(N298),ISNUMBER(AI298)),IF(AI298&gt;0,N298/AI298,""),"")</f>
        <v/>
      </c>
      <c r="AK298" s="12" t="str">
        <f aca="false" t="array" ref="AK298:AK298">IF(D298="","",IFERROR(MEDIAN(IF(($D$2:$D$401=D298)*ISNUMBER($R$2:$R$401),$R$2:$R$401)),""))</f>
        <v/>
      </c>
      <c r="AL298" s="17" t="str">
        <f aca="false">IF(ISNUMBER(AJ298),IF(AND(AJ298&gt;=Resumen!$C$5,OR(NOT(ISNUMBER(R298)),NOT(ISNUMBER(AK298)),R298&gt;=AK298)),"Ganador",IF(AJ298&lt;=Resumen!$C$6,"Perdedor","Normal")),IF(ISNUMBER(AH298),IF(AH298&gt;=Resumen!$C$5,"Ganador (7 d, provisional)",IF(AH298&lt;=Resumen!$C$6,"Perdedor (7 d, provisional)","Normal (7 d, provisional)")),""))</f>
        <v/>
      </c>
      <c r="AM298" s="18" t="str">
        <f aca="false">IF(AND(ISNUMBER(Z298),ISNUMBER(N298)),IF(N298&gt;0,Z298/N298*1000,""),"")</f>
        <v/>
      </c>
      <c r="AN298" s="19" t="str">
        <f aca="false">IF(AND(ISNUMBER(U298),ISNUMBER(N298)),IF(N298&gt;0,U298/N298*1000,""),"")</f>
        <v/>
      </c>
    </row>
    <row r="299" customFormat="false" ht="15" hidden="false" customHeight="false" outlineLevel="0" collapsed="false">
      <c r="A299" s="7"/>
      <c r="B299" s="7"/>
      <c r="C299" s="8"/>
      <c r="D299" s="7"/>
      <c r="E299" s="7"/>
      <c r="F299" s="7"/>
      <c r="G299" s="7"/>
      <c r="H299" s="7"/>
      <c r="I299" s="7"/>
      <c r="J299" s="7"/>
      <c r="K299" s="9"/>
      <c r="L299" s="10"/>
      <c r="M299" s="10"/>
      <c r="N299" s="10"/>
      <c r="O299" s="10"/>
      <c r="P299" s="11"/>
      <c r="Q299" s="9"/>
      <c r="R299" s="12" t="str">
        <f aca="false">IF(AND(ISNUMBER(K299),ISNUMBER(Q299),K299&gt;0),Q299/K299,"")</f>
        <v/>
      </c>
      <c r="S299" s="11"/>
      <c r="T299" s="9"/>
      <c r="U299" s="10"/>
      <c r="V299" s="11"/>
      <c r="W299" s="11"/>
      <c r="X299" s="11"/>
      <c r="Y299" s="12" t="str">
        <f aca="false">IF(COUNT(V299:X299)=0,"",MAX(0,1-SUM(V299:X299)))</f>
        <v/>
      </c>
      <c r="Z299" s="13"/>
      <c r="AA299" s="9"/>
      <c r="AB299" s="7"/>
      <c r="AC299" s="7"/>
      <c r="AD299" s="7"/>
      <c r="AE299" s="7"/>
      <c r="AF299" s="14" t="str">
        <f aca="false">IF(D299="","",COUNTIF($D$2:D299,D299))</f>
        <v/>
      </c>
      <c r="AG299" s="15" t="str">
        <f aca="false" t="array" ref="AG299:AG299">IF(D299="","",IFERROR(MEDIAN(IF(($D$2:$D$401=D299)*($AF$2:$AF$401&gt;=AF299-5)*($AF$2:$AF$401&lt;=AF299-1)*($M$2:$M$401&lt;&gt;""),$M$2:$M$401)),""))</f>
        <v/>
      </c>
      <c r="AH299" s="16" t="str">
        <f aca="false">IF(AND(ISNUMBER(M299),ISNUMBER(AG299)),IF(AG299&gt;0,M299/AG299,""),"")</f>
        <v/>
      </c>
      <c r="AI299" s="15" t="str">
        <f aca="false" t="array" ref="AI299:AI299">IF(D299="","",IFERROR(MEDIAN(IF(($D$2:$D$401=D299)*($AF$2:$AF$401&gt;=AF299-5)*($AF$2:$AF$401&lt;=AF299-1)*($N$2:$N$401&lt;&gt;""),$N$2:$N$401)),""))</f>
        <v/>
      </c>
      <c r="AJ299" s="16" t="str">
        <f aca="false">IF(AND(ISNUMBER(N299),ISNUMBER(AI299)),IF(AI299&gt;0,N299/AI299,""),"")</f>
        <v/>
      </c>
      <c r="AK299" s="12" t="str">
        <f aca="false" t="array" ref="AK299:AK299">IF(D299="","",IFERROR(MEDIAN(IF(($D$2:$D$401=D299)*ISNUMBER($R$2:$R$401),$R$2:$R$401)),""))</f>
        <v/>
      </c>
      <c r="AL299" s="17" t="str">
        <f aca="false">IF(ISNUMBER(AJ299),IF(AND(AJ299&gt;=Resumen!$C$5,OR(NOT(ISNUMBER(R299)),NOT(ISNUMBER(AK299)),R299&gt;=AK299)),"Ganador",IF(AJ299&lt;=Resumen!$C$6,"Perdedor","Normal")),IF(ISNUMBER(AH299),IF(AH299&gt;=Resumen!$C$5,"Ganador (7 d, provisional)",IF(AH299&lt;=Resumen!$C$6,"Perdedor (7 d, provisional)","Normal (7 d, provisional)")),""))</f>
        <v/>
      </c>
      <c r="AM299" s="18" t="str">
        <f aca="false">IF(AND(ISNUMBER(Z299),ISNUMBER(N299)),IF(N299&gt;0,Z299/N299*1000,""),"")</f>
        <v/>
      </c>
      <c r="AN299" s="19" t="str">
        <f aca="false">IF(AND(ISNUMBER(U299),ISNUMBER(N299)),IF(N299&gt;0,U299/N299*1000,""),"")</f>
        <v/>
      </c>
    </row>
    <row r="300" customFormat="false" ht="15" hidden="false" customHeight="false" outlineLevel="0" collapsed="false">
      <c r="A300" s="7"/>
      <c r="B300" s="7"/>
      <c r="C300" s="8"/>
      <c r="D300" s="7"/>
      <c r="E300" s="7"/>
      <c r="F300" s="7"/>
      <c r="G300" s="7"/>
      <c r="H300" s="7"/>
      <c r="I300" s="7"/>
      <c r="J300" s="7"/>
      <c r="K300" s="9"/>
      <c r="L300" s="10"/>
      <c r="M300" s="10"/>
      <c r="N300" s="10"/>
      <c r="O300" s="10"/>
      <c r="P300" s="11"/>
      <c r="Q300" s="9"/>
      <c r="R300" s="12" t="str">
        <f aca="false">IF(AND(ISNUMBER(K300),ISNUMBER(Q300),K300&gt;0),Q300/K300,"")</f>
        <v/>
      </c>
      <c r="S300" s="11"/>
      <c r="T300" s="9"/>
      <c r="U300" s="10"/>
      <c r="V300" s="11"/>
      <c r="W300" s="11"/>
      <c r="X300" s="11"/>
      <c r="Y300" s="12" t="str">
        <f aca="false">IF(COUNT(V300:X300)=0,"",MAX(0,1-SUM(V300:X300)))</f>
        <v/>
      </c>
      <c r="Z300" s="13"/>
      <c r="AA300" s="9"/>
      <c r="AB300" s="7"/>
      <c r="AC300" s="7"/>
      <c r="AD300" s="7"/>
      <c r="AE300" s="7"/>
      <c r="AF300" s="14" t="str">
        <f aca="false">IF(D300="","",COUNTIF($D$2:D300,D300))</f>
        <v/>
      </c>
      <c r="AG300" s="15" t="str">
        <f aca="false" t="array" ref="AG300:AG300">IF(D300="","",IFERROR(MEDIAN(IF(($D$2:$D$401=D300)*($AF$2:$AF$401&gt;=AF300-5)*($AF$2:$AF$401&lt;=AF300-1)*($M$2:$M$401&lt;&gt;""),$M$2:$M$401)),""))</f>
        <v/>
      </c>
      <c r="AH300" s="16" t="str">
        <f aca="false">IF(AND(ISNUMBER(M300),ISNUMBER(AG300)),IF(AG300&gt;0,M300/AG300,""),"")</f>
        <v/>
      </c>
      <c r="AI300" s="15" t="str">
        <f aca="false" t="array" ref="AI300:AI300">IF(D300="","",IFERROR(MEDIAN(IF(($D$2:$D$401=D300)*($AF$2:$AF$401&gt;=AF300-5)*($AF$2:$AF$401&lt;=AF300-1)*($N$2:$N$401&lt;&gt;""),$N$2:$N$401)),""))</f>
        <v/>
      </c>
      <c r="AJ300" s="16" t="str">
        <f aca="false">IF(AND(ISNUMBER(N300),ISNUMBER(AI300)),IF(AI300&gt;0,N300/AI300,""),"")</f>
        <v/>
      </c>
      <c r="AK300" s="12" t="str">
        <f aca="false" t="array" ref="AK300:AK300">IF(D300="","",IFERROR(MEDIAN(IF(($D$2:$D$401=D300)*ISNUMBER($R$2:$R$401),$R$2:$R$401)),""))</f>
        <v/>
      </c>
      <c r="AL300" s="17" t="str">
        <f aca="false">IF(ISNUMBER(AJ300),IF(AND(AJ300&gt;=Resumen!$C$5,OR(NOT(ISNUMBER(R300)),NOT(ISNUMBER(AK300)),R300&gt;=AK300)),"Ganador",IF(AJ300&lt;=Resumen!$C$6,"Perdedor","Normal")),IF(ISNUMBER(AH300),IF(AH300&gt;=Resumen!$C$5,"Ganador (7 d, provisional)",IF(AH300&lt;=Resumen!$C$6,"Perdedor (7 d, provisional)","Normal (7 d, provisional)")),""))</f>
        <v/>
      </c>
      <c r="AM300" s="18" t="str">
        <f aca="false">IF(AND(ISNUMBER(Z300),ISNUMBER(N300)),IF(N300&gt;0,Z300/N300*1000,""),"")</f>
        <v/>
      </c>
      <c r="AN300" s="19" t="str">
        <f aca="false">IF(AND(ISNUMBER(U300),ISNUMBER(N300)),IF(N300&gt;0,U300/N300*1000,""),"")</f>
        <v/>
      </c>
    </row>
    <row r="301" customFormat="false" ht="15" hidden="false" customHeight="false" outlineLevel="0" collapsed="false">
      <c r="A301" s="7"/>
      <c r="B301" s="7"/>
      <c r="C301" s="8"/>
      <c r="D301" s="7"/>
      <c r="E301" s="7"/>
      <c r="F301" s="7"/>
      <c r="G301" s="7"/>
      <c r="H301" s="7"/>
      <c r="I301" s="7"/>
      <c r="J301" s="7"/>
      <c r="K301" s="9"/>
      <c r="L301" s="10"/>
      <c r="M301" s="10"/>
      <c r="N301" s="10"/>
      <c r="O301" s="10"/>
      <c r="P301" s="11"/>
      <c r="Q301" s="9"/>
      <c r="R301" s="12" t="str">
        <f aca="false">IF(AND(ISNUMBER(K301),ISNUMBER(Q301),K301&gt;0),Q301/K301,"")</f>
        <v/>
      </c>
      <c r="S301" s="11"/>
      <c r="T301" s="9"/>
      <c r="U301" s="10"/>
      <c r="V301" s="11"/>
      <c r="W301" s="11"/>
      <c r="X301" s="11"/>
      <c r="Y301" s="12" t="str">
        <f aca="false">IF(COUNT(V301:X301)=0,"",MAX(0,1-SUM(V301:X301)))</f>
        <v/>
      </c>
      <c r="Z301" s="13"/>
      <c r="AA301" s="9"/>
      <c r="AB301" s="7"/>
      <c r="AC301" s="7"/>
      <c r="AD301" s="7"/>
      <c r="AE301" s="7"/>
      <c r="AF301" s="14" t="str">
        <f aca="false">IF(D301="","",COUNTIF($D$2:D301,D301))</f>
        <v/>
      </c>
      <c r="AG301" s="15" t="str">
        <f aca="false" t="array" ref="AG301:AG301">IF(D301="","",IFERROR(MEDIAN(IF(($D$2:$D$401=D301)*($AF$2:$AF$401&gt;=AF301-5)*($AF$2:$AF$401&lt;=AF301-1)*($M$2:$M$401&lt;&gt;""),$M$2:$M$401)),""))</f>
        <v/>
      </c>
      <c r="AH301" s="16" t="str">
        <f aca="false">IF(AND(ISNUMBER(M301),ISNUMBER(AG301)),IF(AG301&gt;0,M301/AG301,""),"")</f>
        <v/>
      </c>
      <c r="AI301" s="15" t="str">
        <f aca="false" t="array" ref="AI301:AI301">IF(D301="","",IFERROR(MEDIAN(IF(($D$2:$D$401=D301)*($AF$2:$AF$401&gt;=AF301-5)*($AF$2:$AF$401&lt;=AF301-1)*($N$2:$N$401&lt;&gt;""),$N$2:$N$401)),""))</f>
        <v/>
      </c>
      <c r="AJ301" s="16" t="str">
        <f aca="false">IF(AND(ISNUMBER(N301),ISNUMBER(AI301)),IF(AI301&gt;0,N301/AI301,""),"")</f>
        <v/>
      </c>
      <c r="AK301" s="12" t="str">
        <f aca="false" t="array" ref="AK301:AK301">IF(D301="","",IFERROR(MEDIAN(IF(($D$2:$D$401=D301)*ISNUMBER($R$2:$R$401),$R$2:$R$401)),""))</f>
        <v/>
      </c>
      <c r="AL301" s="17" t="str">
        <f aca="false">IF(ISNUMBER(AJ301),IF(AND(AJ301&gt;=Resumen!$C$5,OR(NOT(ISNUMBER(R301)),NOT(ISNUMBER(AK301)),R301&gt;=AK301)),"Ganador",IF(AJ301&lt;=Resumen!$C$6,"Perdedor","Normal")),IF(ISNUMBER(AH301),IF(AH301&gt;=Resumen!$C$5,"Ganador (7 d, provisional)",IF(AH301&lt;=Resumen!$C$6,"Perdedor (7 d, provisional)","Normal (7 d, provisional)")),""))</f>
        <v/>
      </c>
      <c r="AM301" s="18" t="str">
        <f aca="false">IF(AND(ISNUMBER(Z301),ISNUMBER(N301)),IF(N301&gt;0,Z301/N301*1000,""),"")</f>
        <v/>
      </c>
      <c r="AN301" s="19" t="str">
        <f aca="false">IF(AND(ISNUMBER(U301),ISNUMBER(N301)),IF(N301&gt;0,U301/N301*1000,""),"")</f>
        <v/>
      </c>
    </row>
    <row r="302" customFormat="false" ht="15" hidden="false" customHeight="false" outlineLevel="0" collapsed="false">
      <c r="A302" s="7"/>
      <c r="B302" s="7"/>
      <c r="C302" s="8"/>
      <c r="D302" s="7"/>
      <c r="E302" s="7"/>
      <c r="F302" s="7"/>
      <c r="G302" s="7"/>
      <c r="H302" s="7"/>
      <c r="I302" s="7"/>
      <c r="J302" s="7"/>
      <c r="K302" s="9"/>
      <c r="L302" s="10"/>
      <c r="M302" s="10"/>
      <c r="N302" s="10"/>
      <c r="O302" s="10"/>
      <c r="P302" s="11"/>
      <c r="Q302" s="9"/>
      <c r="R302" s="12" t="str">
        <f aca="false">IF(AND(ISNUMBER(K302),ISNUMBER(Q302),K302&gt;0),Q302/K302,"")</f>
        <v/>
      </c>
      <c r="S302" s="11"/>
      <c r="T302" s="9"/>
      <c r="U302" s="10"/>
      <c r="V302" s="11"/>
      <c r="W302" s="11"/>
      <c r="X302" s="11"/>
      <c r="Y302" s="12" t="str">
        <f aca="false">IF(COUNT(V302:X302)=0,"",MAX(0,1-SUM(V302:X302)))</f>
        <v/>
      </c>
      <c r="Z302" s="13"/>
      <c r="AA302" s="9"/>
      <c r="AB302" s="7"/>
      <c r="AC302" s="7"/>
      <c r="AD302" s="7"/>
      <c r="AE302" s="7"/>
      <c r="AF302" s="14" t="str">
        <f aca="false">IF(D302="","",COUNTIF($D$2:D302,D302))</f>
        <v/>
      </c>
      <c r="AG302" s="15" t="str">
        <f aca="false" t="array" ref="AG302:AG302">IF(D302="","",IFERROR(MEDIAN(IF(($D$2:$D$401=D302)*($AF$2:$AF$401&gt;=AF302-5)*($AF$2:$AF$401&lt;=AF302-1)*($M$2:$M$401&lt;&gt;""),$M$2:$M$401)),""))</f>
        <v/>
      </c>
      <c r="AH302" s="16" t="str">
        <f aca="false">IF(AND(ISNUMBER(M302),ISNUMBER(AG302)),IF(AG302&gt;0,M302/AG302,""),"")</f>
        <v/>
      </c>
      <c r="AI302" s="15" t="str">
        <f aca="false" t="array" ref="AI302:AI302">IF(D302="","",IFERROR(MEDIAN(IF(($D$2:$D$401=D302)*($AF$2:$AF$401&gt;=AF302-5)*($AF$2:$AF$401&lt;=AF302-1)*($N$2:$N$401&lt;&gt;""),$N$2:$N$401)),""))</f>
        <v/>
      </c>
      <c r="AJ302" s="16" t="str">
        <f aca="false">IF(AND(ISNUMBER(N302),ISNUMBER(AI302)),IF(AI302&gt;0,N302/AI302,""),"")</f>
        <v/>
      </c>
      <c r="AK302" s="12" t="str">
        <f aca="false" t="array" ref="AK302:AK302">IF(D302="","",IFERROR(MEDIAN(IF(($D$2:$D$401=D302)*ISNUMBER($R$2:$R$401),$R$2:$R$401)),""))</f>
        <v/>
      </c>
      <c r="AL302" s="17" t="str">
        <f aca="false">IF(ISNUMBER(AJ302),IF(AND(AJ302&gt;=Resumen!$C$5,OR(NOT(ISNUMBER(R302)),NOT(ISNUMBER(AK302)),R302&gt;=AK302)),"Ganador",IF(AJ302&lt;=Resumen!$C$6,"Perdedor","Normal")),IF(ISNUMBER(AH302),IF(AH302&gt;=Resumen!$C$5,"Ganador (7 d, provisional)",IF(AH302&lt;=Resumen!$C$6,"Perdedor (7 d, provisional)","Normal (7 d, provisional)")),""))</f>
        <v/>
      </c>
      <c r="AM302" s="18" t="str">
        <f aca="false">IF(AND(ISNUMBER(Z302),ISNUMBER(N302)),IF(N302&gt;0,Z302/N302*1000,""),"")</f>
        <v/>
      </c>
      <c r="AN302" s="19" t="str">
        <f aca="false">IF(AND(ISNUMBER(U302),ISNUMBER(N302)),IF(N302&gt;0,U302/N302*1000,""),"")</f>
        <v/>
      </c>
    </row>
    <row r="303" customFormat="false" ht="15" hidden="false" customHeight="false" outlineLevel="0" collapsed="false">
      <c r="A303" s="7"/>
      <c r="B303" s="7"/>
      <c r="C303" s="8"/>
      <c r="D303" s="7"/>
      <c r="E303" s="7"/>
      <c r="F303" s="7"/>
      <c r="G303" s="7"/>
      <c r="H303" s="7"/>
      <c r="I303" s="7"/>
      <c r="J303" s="7"/>
      <c r="K303" s="9"/>
      <c r="L303" s="10"/>
      <c r="M303" s="10"/>
      <c r="N303" s="10"/>
      <c r="O303" s="10"/>
      <c r="P303" s="11"/>
      <c r="Q303" s="9"/>
      <c r="R303" s="12" t="str">
        <f aca="false">IF(AND(ISNUMBER(K303),ISNUMBER(Q303),K303&gt;0),Q303/K303,"")</f>
        <v/>
      </c>
      <c r="S303" s="11"/>
      <c r="T303" s="9"/>
      <c r="U303" s="10"/>
      <c r="V303" s="11"/>
      <c r="W303" s="11"/>
      <c r="X303" s="11"/>
      <c r="Y303" s="12" t="str">
        <f aca="false">IF(COUNT(V303:X303)=0,"",MAX(0,1-SUM(V303:X303)))</f>
        <v/>
      </c>
      <c r="Z303" s="13"/>
      <c r="AA303" s="9"/>
      <c r="AB303" s="7"/>
      <c r="AC303" s="7"/>
      <c r="AD303" s="7"/>
      <c r="AE303" s="7"/>
      <c r="AF303" s="14" t="str">
        <f aca="false">IF(D303="","",COUNTIF($D$2:D303,D303))</f>
        <v/>
      </c>
      <c r="AG303" s="15" t="str">
        <f aca="false" t="array" ref="AG303:AG303">IF(D303="","",IFERROR(MEDIAN(IF(($D$2:$D$401=D303)*($AF$2:$AF$401&gt;=AF303-5)*($AF$2:$AF$401&lt;=AF303-1)*($M$2:$M$401&lt;&gt;""),$M$2:$M$401)),""))</f>
        <v/>
      </c>
      <c r="AH303" s="16" t="str">
        <f aca="false">IF(AND(ISNUMBER(M303),ISNUMBER(AG303)),IF(AG303&gt;0,M303/AG303,""),"")</f>
        <v/>
      </c>
      <c r="AI303" s="15" t="str">
        <f aca="false" t="array" ref="AI303:AI303">IF(D303="","",IFERROR(MEDIAN(IF(($D$2:$D$401=D303)*($AF$2:$AF$401&gt;=AF303-5)*($AF$2:$AF$401&lt;=AF303-1)*($N$2:$N$401&lt;&gt;""),$N$2:$N$401)),""))</f>
        <v/>
      </c>
      <c r="AJ303" s="16" t="str">
        <f aca="false">IF(AND(ISNUMBER(N303),ISNUMBER(AI303)),IF(AI303&gt;0,N303/AI303,""),"")</f>
        <v/>
      </c>
      <c r="AK303" s="12" t="str">
        <f aca="false" t="array" ref="AK303:AK303">IF(D303="","",IFERROR(MEDIAN(IF(($D$2:$D$401=D303)*ISNUMBER($R$2:$R$401),$R$2:$R$401)),""))</f>
        <v/>
      </c>
      <c r="AL303" s="17" t="str">
        <f aca="false">IF(ISNUMBER(AJ303),IF(AND(AJ303&gt;=Resumen!$C$5,OR(NOT(ISNUMBER(R303)),NOT(ISNUMBER(AK303)),R303&gt;=AK303)),"Ganador",IF(AJ303&lt;=Resumen!$C$6,"Perdedor","Normal")),IF(ISNUMBER(AH303),IF(AH303&gt;=Resumen!$C$5,"Ganador (7 d, provisional)",IF(AH303&lt;=Resumen!$C$6,"Perdedor (7 d, provisional)","Normal (7 d, provisional)")),""))</f>
        <v/>
      </c>
      <c r="AM303" s="18" t="str">
        <f aca="false">IF(AND(ISNUMBER(Z303),ISNUMBER(N303)),IF(N303&gt;0,Z303/N303*1000,""),"")</f>
        <v/>
      </c>
      <c r="AN303" s="19" t="str">
        <f aca="false">IF(AND(ISNUMBER(U303),ISNUMBER(N303)),IF(N303&gt;0,U303/N303*1000,""),"")</f>
        <v/>
      </c>
    </row>
    <row r="304" customFormat="false" ht="15" hidden="false" customHeight="false" outlineLevel="0" collapsed="false">
      <c r="A304" s="7"/>
      <c r="B304" s="7"/>
      <c r="C304" s="8"/>
      <c r="D304" s="7"/>
      <c r="E304" s="7"/>
      <c r="F304" s="7"/>
      <c r="G304" s="7"/>
      <c r="H304" s="7"/>
      <c r="I304" s="7"/>
      <c r="J304" s="7"/>
      <c r="K304" s="9"/>
      <c r="L304" s="10"/>
      <c r="M304" s="10"/>
      <c r="N304" s="10"/>
      <c r="O304" s="10"/>
      <c r="P304" s="11"/>
      <c r="Q304" s="9"/>
      <c r="R304" s="12" t="str">
        <f aca="false">IF(AND(ISNUMBER(K304),ISNUMBER(Q304),K304&gt;0),Q304/K304,"")</f>
        <v/>
      </c>
      <c r="S304" s="11"/>
      <c r="T304" s="9"/>
      <c r="U304" s="10"/>
      <c r="V304" s="11"/>
      <c r="W304" s="11"/>
      <c r="X304" s="11"/>
      <c r="Y304" s="12" t="str">
        <f aca="false">IF(COUNT(V304:X304)=0,"",MAX(0,1-SUM(V304:X304)))</f>
        <v/>
      </c>
      <c r="Z304" s="13"/>
      <c r="AA304" s="9"/>
      <c r="AB304" s="7"/>
      <c r="AC304" s="7"/>
      <c r="AD304" s="7"/>
      <c r="AE304" s="7"/>
      <c r="AF304" s="14" t="str">
        <f aca="false">IF(D304="","",COUNTIF($D$2:D304,D304))</f>
        <v/>
      </c>
      <c r="AG304" s="15" t="str">
        <f aca="false" t="array" ref="AG304:AG304">IF(D304="","",IFERROR(MEDIAN(IF(($D$2:$D$401=D304)*($AF$2:$AF$401&gt;=AF304-5)*($AF$2:$AF$401&lt;=AF304-1)*($M$2:$M$401&lt;&gt;""),$M$2:$M$401)),""))</f>
        <v/>
      </c>
      <c r="AH304" s="16" t="str">
        <f aca="false">IF(AND(ISNUMBER(M304),ISNUMBER(AG304)),IF(AG304&gt;0,M304/AG304,""),"")</f>
        <v/>
      </c>
      <c r="AI304" s="15" t="str">
        <f aca="false" t="array" ref="AI304:AI304">IF(D304="","",IFERROR(MEDIAN(IF(($D$2:$D$401=D304)*($AF$2:$AF$401&gt;=AF304-5)*($AF$2:$AF$401&lt;=AF304-1)*($N$2:$N$401&lt;&gt;""),$N$2:$N$401)),""))</f>
        <v/>
      </c>
      <c r="AJ304" s="16" t="str">
        <f aca="false">IF(AND(ISNUMBER(N304),ISNUMBER(AI304)),IF(AI304&gt;0,N304/AI304,""),"")</f>
        <v/>
      </c>
      <c r="AK304" s="12" t="str">
        <f aca="false" t="array" ref="AK304:AK304">IF(D304="","",IFERROR(MEDIAN(IF(($D$2:$D$401=D304)*ISNUMBER($R$2:$R$401),$R$2:$R$401)),""))</f>
        <v/>
      </c>
      <c r="AL304" s="17" t="str">
        <f aca="false">IF(ISNUMBER(AJ304),IF(AND(AJ304&gt;=Resumen!$C$5,OR(NOT(ISNUMBER(R304)),NOT(ISNUMBER(AK304)),R304&gt;=AK304)),"Ganador",IF(AJ304&lt;=Resumen!$C$6,"Perdedor","Normal")),IF(ISNUMBER(AH304),IF(AH304&gt;=Resumen!$C$5,"Ganador (7 d, provisional)",IF(AH304&lt;=Resumen!$C$6,"Perdedor (7 d, provisional)","Normal (7 d, provisional)")),""))</f>
        <v/>
      </c>
      <c r="AM304" s="18" t="str">
        <f aca="false">IF(AND(ISNUMBER(Z304),ISNUMBER(N304)),IF(N304&gt;0,Z304/N304*1000,""),"")</f>
        <v/>
      </c>
      <c r="AN304" s="19" t="str">
        <f aca="false">IF(AND(ISNUMBER(U304),ISNUMBER(N304)),IF(N304&gt;0,U304/N304*1000,""),"")</f>
        <v/>
      </c>
    </row>
    <row r="305" customFormat="false" ht="15" hidden="false" customHeight="false" outlineLevel="0" collapsed="false">
      <c r="A305" s="7"/>
      <c r="B305" s="7"/>
      <c r="C305" s="8"/>
      <c r="D305" s="7"/>
      <c r="E305" s="7"/>
      <c r="F305" s="7"/>
      <c r="G305" s="7"/>
      <c r="H305" s="7"/>
      <c r="I305" s="7"/>
      <c r="J305" s="7"/>
      <c r="K305" s="9"/>
      <c r="L305" s="10"/>
      <c r="M305" s="10"/>
      <c r="N305" s="10"/>
      <c r="O305" s="10"/>
      <c r="P305" s="11"/>
      <c r="Q305" s="9"/>
      <c r="R305" s="12" t="str">
        <f aca="false">IF(AND(ISNUMBER(K305),ISNUMBER(Q305),K305&gt;0),Q305/K305,"")</f>
        <v/>
      </c>
      <c r="S305" s="11"/>
      <c r="T305" s="9"/>
      <c r="U305" s="10"/>
      <c r="V305" s="11"/>
      <c r="W305" s="11"/>
      <c r="X305" s="11"/>
      <c r="Y305" s="12" t="str">
        <f aca="false">IF(COUNT(V305:X305)=0,"",MAX(0,1-SUM(V305:X305)))</f>
        <v/>
      </c>
      <c r="Z305" s="13"/>
      <c r="AA305" s="9"/>
      <c r="AB305" s="7"/>
      <c r="AC305" s="7"/>
      <c r="AD305" s="7"/>
      <c r="AE305" s="7"/>
      <c r="AF305" s="14" t="str">
        <f aca="false">IF(D305="","",COUNTIF($D$2:D305,D305))</f>
        <v/>
      </c>
      <c r="AG305" s="15" t="str">
        <f aca="false" t="array" ref="AG305:AG305">IF(D305="","",IFERROR(MEDIAN(IF(($D$2:$D$401=D305)*($AF$2:$AF$401&gt;=AF305-5)*($AF$2:$AF$401&lt;=AF305-1)*($M$2:$M$401&lt;&gt;""),$M$2:$M$401)),""))</f>
        <v/>
      </c>
      <c r="AH305" s="16" t="str">
        <f aca="false">IF(AND(ISNUMBER(M305),ISNUMBER(AG305)),IF(AG305&gt;0,M305/AG305,""),"")</f>
        <v/>
      </c>
      <c r="AI305" s="15" t="str">
        <f aca="false" t="array" ref="AI305:AI305">IF(D305="","",IFERROR(MEDIAN(IF(($D$2:$D$401=D305)*($AF$2:$AF$401&gt;=AF305-5)*($AF$2:$AF$401&lt;=AF305-1)*($N$2:$N$401&lt;&gt;""),$N$2:$N$401)),""))</f>
        <v/>
      </c>
      <c r="AJ305" s="16" t="str">
        <f aca="false">IF(AND(ISNUMBER(N305),ISNUMBER(AI305)),IF(AI305&gt;0,N305/AI305,""),"")</f>
        <v/>
      </c>
      <c r="AK305" s="12" t="str">
        <f aca="false" t="array" ref="AK305:AK305">IF(D305="","",IFERROR(MEDIAN(IF(($D$2:$D$401=D305)*ISNUMBER($R$2:$R$401),$R$2:$R$401)),""))</f>
        <v/>
      </c>
      <c r="AL305" s="17" t="str">
        <f aca="false">IF(ISNUMBER(AJ305),IF(AND(AJ305&gt;=Resumen!$C$5,OR(NOT(ISNUMBER(R305)),NOT(ISNUMBER(AK305)),R305&gt;=AK305)),"Ganador",IF(AJ305&lt;=Resumen!$C$6,"Perdedor","Normal")),IF(ISNUMBER(AH305),IF(AH305&gt;=Resumen!$C$5,"Ganador (7 d, provisional)",IF(AH305&lt;=Resumen!$C$6,"Perdedor (7 d, provisional)","Normal (7 d, provisional)")),""))</f>
        <v/>
      </c>
      <c r="AM305" s="18" t="str">
        <f aca="false">IF(AND(ISNUMBER(Z305),ISNUMBER(N305)),IF(N305&gt;0,Z305/N305*1000,""),"")</f>
        <v/>
      </c>
      <c r="AN305" s="19" t="str">
        <f aca="false">IF(AND(ISNUMBER(U305),ISNUMBER(N305)),IF(N305&gt;0,U305/N305*1000,""),"")</f>
        <v/>
      </c>
    </row>
    <row r="306" customFormat="false" ht="15" hidden="false" customHeight="false" outlineLevel="0" collapsed="false">
      <c r="A306" s="7"/>
      <c r="B306" s="7"/>
      <c r="C306" s="8"/>
      <c r="D306" s="7"/>
      <c r="E306" s="7"/>
      <c r="F306" s="7"/>
      <c r="G306" s="7"/>
      <c r="H306" s="7"/>
      <c r="I306" s="7"/>
      <c r="J306" s="7"/>
      <c r="K306" s="9"/>
      <c r="L306" s="10"/>
      <c r="M306" s="10"/>
      <c r="N306" s="10"/>
      <c r="O306" s="10"/>
      <c r="P306" s="11"/>
      <c r="Q306" s="9"/>
      <c r="R306" s="12" t="str">
        <f aca="false">IF(AND(ISNUMBER(K306),ISNUMBER(Q306),K306&gt;0),Q306/K306,"")</f>
        <v/>
      </c>
      <c r="S306" s="11"/>
      <c r="T306" s="9"/>
      <c r="U306" s="10"/>
      <c r="V306" s="11"/>
      <c r="W306" s="11"/>
      <c r="X306" s="11"/>
      <c r="Y306" s="12" t="str">
        <f aca="false">IF(COUNT(V306:X306)=0,"",MAX(0,1-SUM(V306:X306)))</f>
        <v/>
      </c>
      <c r="Z306" s="13"/>
      <c r="AA306" s="9"/>
      <c r="AB306" s="7"/>
      <c r="AC306" s="7"/>
      <c r="AD306" s="7"/>
      <c r="AE306" s="7"/>
      <c r="AF306" s="14" t="str">
        <f aca="false">IF(D306="","",COUNTIF($D$2:D306,D306))</f>
        <v/>
      </c>
      <c r="AG306" s="15" t="str">
        <f aca="false" t="array" ref="AG306:AG306">IF(D306="","",IFERROR(MEDIAN(IF(($D$2:$D$401=D306)*($AF$2:$AF$401&gt;=AF306-5)*($AF$2:$AF$401&lt;=AF306-1)*($M$2:$M$401&lt;&gt;""),$M$2:$M$401)),""))</f>
        <v/>
      </c>
      <c r="AH306" s="16" t="str">
        <f aca="false">IF(AND(ISNUMBER(M306),ISNUMBER(AG306)),IF(AG306&gt;0,M306/AG306,""),"")</f>
        <v/>
      </c>
      <c r="AI306" s="15" t="str">
        <f aca="false" t="array" ref="AI306:AI306">IF(D306="","",IFERROR(MEDIAN(IF(($D$2:$D$401=D306)*($AF$2:$AF$401&gt;=AF306-5)*($AF$2:$AF$401&lt;=AF306-1)*($N$2:$N$401&lt;&gt;""),$N$2:$N$401)),""))</f>
        <v/>
      </c>
      <c r="AJ306" s="16" t="str">
        <f aca="false">IF(AND(ISNUMBER(N306),ISNUMBER(AI306)),IF(AI306&gt;0,N306/AI306,""),"")</f>
        <v/>
      </c>
      <c r="AK306" s="12" t="str">
        <f aca="false" t="array" ref="AK306:AK306">IF(D306="","",IFERROR(MEDIAN(IF(($D$2:$D$401=D306)*ISNUMBER($R$2:$R$401),$R$2:$R$401)),""))</f>
        <v/>
      </c>
      <c r="AL306" s="17" t="str">
        <f aca="false">IF(ISNUMBER(AJ306),IF(AND(AJ306&gt;=Resumen!$C$5,OR(NOT(ISNUMBER(R306)),NOT(ISNUMBER(AK306)),R306&gt;=AK306)),"Ganador",IF(AJ306&lt;=Resumen!$C$6,"Perdedor","Normal")),IF(ISNUMBER(AH306),IF(AH306&gt;=Resumen!$C$5,"Ganador (7 d, provisional)",IF(AH306&lt;=Resumen!$C$6,"Perdedor (7 d, provisional)","Normal (7 d, provisional)")),""))</f>
        <v/>
      </c>
      <c r="AM306" s="18" t="str">
        <f aca="false">IF(AND(ISNUMBER(Z306),ISNUMBER(N306)),IF(N306&gt;0,Z306/N306*1000,""),"")</f>
        <v/>
      </c>
      <c r="AN306" s="19" t="str">
        <f aca="false">IF(AND(ISNUMBER(U306),ISNUMBER(N306)),IF(N306&gt;0,U306/N306*1000,""),"")</f>
        <v/>
      </c>
    </row>
    <row r="307" customFormat="false" ht="15" hidden="false" customHeight="false" outlineLevel="0" collapsed="false">
      <c r="A307" s="7"/>
      <c r="B307" s="7"/>
      <c r="C307" s="8"/>
      <c r="D307" s="7"/>
      <c r="E307" s="7"/>
      <c r="F307" s="7"/>
      <c r="G307" s="7"/>
      <c r="H307" s="7"/>
      <c r="I307" s="7"/>
      <c r="J307" s="7"/>
      <c r="K307" s="9"/>
      <c r="L307" s="10"/>
      <c r="M307" s="10"/>
      <c r="N307" s="10"/>
      <c r="O307" s="10"/>
      <c r="P307" s="11"/>
      <c r="Q307" s="9"/>
      <c r="R307" s="12" t="str">
        <f aca="false">IF(AND(ISNUMBER(K307),ISNUMBER(Q307),K307&gt;0),Q307/K307,"")</f>
        <v/>
      </c>
      <c r="S307" s="11"/>
      <c r="T307" s="9"/>
      <c r="U307" s="10"/>
      <c r="V307" s="11"/>
      <c r="W307" s="11"/>
      <c r="X307" s="11"/>
      <c r="Y307" s="12" t="str">
        <f aca="false">IF(COUNT(V307:X307)=0,"",MAX(0,1-SUM(V307:X307)))</f>
        <v/>
      </c>
      <c r="Z307" s="13"/>
      <c r="AA307" s="9"/>
      <c r="AB307" s="7"/>
      <c r="AC307" s="7"/>
      <c r="AD307" s="7"/>
      <c r="AE307" s="7"/>
      <c r="AF307" s="14" t="str">
        <f aca="false">IF(D307="","",COUNTIF($D$2:D307,D307))</f>
        <v/>
      </c>
      <c r="AG307" s="15" t="str">
        <f aca="false" t="array" ref="AG307:AG307">IF(D307="","",IFERROR(MEDIAN(IF(($D$2:$D$401=D307)*($AF$2:$AF$401&gt;=AF307-5)*($AF$2:$AF$401&lt;=AF307-1)*($M$2:$M$401&lt;&gt;""),$M$2:$M$401)),""))</f>
        <v/>
      </c>
      <c r="AH307" s="16" t="str">
        <f aca="false">IF(AND(ISNUMBER(M307),ISNUMBER(AG307)),IF(AG307&gt;0,M307/AG307,""),"")</f>
        <v/>
      </c>
      <c r="AI307" s="15" t="str">
        <f aca="false" t="array" ref="AI307:AI307">IF(D307="","",IFERROR(MEDIAN(IF(($D$2:$D$401=D307)*($AF$2:$AF$401&gt;=AF307-5)*($AF$2:$AF$401&lt;=AF307-1)*($N$2:$N$401&lt;&gt;""),$N$2:$N$401)),""))</f>
        <v/>
      </c>
      <c r="AJ307" s="16" t="str">
        <f aca="false">IF(AND(ISNUMBER(N307),ISNUMBER(AI307)),IF(AI307&gt;0,N307/AI307,""),"")</f>
        <v/>
      </c>
      <c r="AK307" s="12" t="str">
        <f aca="false" t="array" ref="AK307:AK307">IF(D307="","",IFERROR(MEDIAN(IF(($D$2:$D$401=D307)*ISNUMBER($R$2:$R$401),$R$2:$R$401)),""))</f>
        <v/>
      </c>
      <c r="AL307" s="17" t="str">
        <f aca="false">IF(ISNUMBER(AJ307),IF(AND(AJ307&gt;=Resumen!$C$5,OR(NOT(ISNUMBER(R307)),NOT(ISNUMBER(AK307)),R307&gt;=AK307)),"Ganador",IF(AJ307&lt;=Resumen!$C$6,"Perdedor","Normal")),IF(ISNUMBER(AH307),IF(AH307&gt;=Resumen!$C$5,"Ganador (7 d, provisional)",IF(AH307&lt;=Resumen!$C$6,"Perdedor (7 d, provisional)","Normal (7 d, provisional)")),""))</f>
        <v/>
      </c>
      <c r="AM307" s="18" t="str">
        <f aca="false">IF(AND(ISNUMBER(Z307),ISNUMBER(N307)),IF(N307&gt;0,Z307/N307*1000,""),"")</f>
        <v/>
      </c>
      <c r="AN307" s="19" t="str">
        <f aca="false">IF(AND(ISNUMBER(U307),ISNUMBER(N307)),IF(N307&gt;0,U307/N307*1000,""),"")</f>
        <v/>
      </c>
    </row>
    <row r="308" customFormat="false" ht="15" hidden="false" customHeight="false" outlineLevel="0" collapsed="false">
      <c r="A308" s="7"/>
      <c r="B308" s="7"/>
      <c r="C308" s="8"/>
      <c r="D308" s="7"/>
      <c r="E308" s="7"/>
      <c r="F308" s="7"/>
      <c r="G308" s="7"/>
      <c r="H308" s="7"/>
      <c r="I308" s="7"/>
      <c r="J308" s="7"/>
      <c r="K308" s="9"/>
      <c r="L308" s="10"/>
      <c r="M308" s="10"/>
      <c r="N308" s="10"/>
      <c r="O308" s="10"/>
      <c r="P308" s="11"/>
      <c r="Q308" s="9"/>
      <c r="R308" s="12" t="str">
        <f aca="false">IF(AND(ISNUMBER(K308),ISNUMBER(Q308),K308&gt;0),Q308/K308,"")</f>
        <v/>
      </c>
      <c r="S308" s="11"/>
      <c r="T308" s="9"/>
      <c r="U308" s="10"/>
      <c r="V308" s="11"/>
      <c r="W308" s="11"/>
      <c r="X308" s="11"/>
      <c r="Y308" s="12" t="str">
        <f aca="false">IF(COUNT(V308:X308)=0,"",MAX(0,1-SUM(V308:X308)))</f>
        <v/>
      </c>
      <c r="Z308" s="13"/>
      <c r="AA308" s="9"/>
      <c r="AB308" s="7"/>
      <c r="AC308" s="7"/>
      <c r="AD308" s="7"/>
      <c r="AE308" s="7"/>
      <c r="AF308" s="14" t="str">
        <f aca="false">IF(D308="","",COUNTIF($D$2:D308,D308))</f>
        <v/>
      </c>
      <c r="AG308" s="15" t="str">
        <f aca="false" t="array" ref="AG308:AG308">IF(D308="","",IFERROR(MEDIAN(IF(($D$2:$D$401=D308)*($AF$2:$AF$401&gt;=AF308-5)*($AF$2:$AF$401&lt;=AF308-1)*($M$2:$M$401&lt;&gt;""),$M$2:$M$401)),""))</f>
        <v/>
      </c>
      <c r="AH308" s="16" t="str">
        <f aca="false">IF(AND(ISNUMBER(M308),ISNUMBER(AG308)),IF(AG308&gt;0,M308/AG308,""),"")</f>
        <v/>
      </c>
      <c r="AI308" s="15" t="str">
        <f aca="false" t="array" ref="AI308:AI308">IF(D308="","",IFERROR(MEDIAN(IF(($D$2:$D$401=D308)*($AF$2:$AF$401&gt;=AF308-5)*($AF$2:$AF$401&lt;=AF308-1)*($N$2:$N$401&lt;&gt;""),$N$2:$N$401)),""))</f>
        <v/>
      </c>
      <c r="AJ308" s="16" t="str">
        <f aca="false">IF(AND(ISNUMBER(N308),ISNUMBER(AI308)),IF(AI308&gt;0,N308/AI308,""),"")</f>
        <v/>
      </c>
      <c r="AK308" s="12" t="str">
        <f aca="false" t="array" ref="AK308:AK308">IF(D308="","",IFERROR(MEDIAN(IF(($D$2:$D$401=D308)*ISNUMBER($R$2:$R$401),$R$2:$R$401)),""))</f>
        <v/>
      </c>
      <c r="AL308" s="17" t="str">
        <f aca="false">IF(ISNUMBER(AJ308),IF(AND(AJ308&gt;=Resumen!$C$5,OR(NOT(ISNUMBER(R308)),NOT(ISNUMBER(AK308)),R308&gt;=AK308)),"Ganador",IF(AJ308&lt;=Resumen!$C$6,"Perdedor","Normal")),IF(ISNUMBER(AH308),IF(AH308&gt;=Resumen!$C$5,"Ganador (7 d, provisional)",IF(AH308&lt;=Resumen!$C$6,"Perdedor (7 d, provisional)","Normal (7 d, provisional)")),""))</f>
        <v/>
      </c>
      <c r="AM308" s="18" t="str">
        <f aca="false">IF(AND(ISNUMBER(Z308),ISNUMBER(N308)),IF(N308&gt;0,Z308/N308*1000,""),"")</f>
        <v/>
      </c>
      <c r="AN308" s="19" t="str">
        <f aca="false">IF(AND(ISNUMBER(U308),ISNUMBER(N308)),IF(N308&gt;0,U308/N308*1000,""),"")</f>
        <v/>
      </c>
    </row>
    <row r="309" customFormat="false" ht="15" hidden="false" customHeight="false" outlineLevel="0" collapsed="false">
      <c r="A309" s="7"/>
      <c r="B309" s="7"/>
      <c r="C309" s="8"/>
      <c r="D309" s="7"/>
      <c r="E309" s="7"/>
      <c r="F309" s="7"/>
      <c r="G309" s="7"/>
      <c r="H309" s="7"/>
      <c r="I309" s="7"/>
      <c r="J309" s="7"/>
      <c r="K309" s="9"/>
      <c r="L309" s="10"/>
      <c r="M309" s="10"/>
      <c r="N309" s="10"/>
      <c r="O309" s="10"/>
      <c r="P309" s="11"/>
      <c r="Q309" s="9"/>
      <c r="R309" s="12" t="str">
        <f aca="false">IF(AND(ISNUMBER(K309),ISNUMBER(Q309),K309&gt;0),Q309/K309,"")</f>
        <v/>
      </c>
      <c r="S309" s="11"/>
      <c r="T309" s="9"/>
      <c r="U309" s="10"/>
      <c r="V309" s="11"/>
      <c r="W309" s="11"/>
      <c r="X309" s="11"/>
      <c r="Y309" s="12" t="str">
        <f aca="false">IF(COUNT(V309:X309)=0,"",MAX(0,1-SUM(V309:X309)))</f>
        <v/>
      </c>
      <c r="Z309" s="13"/>
      <c r="AA309" s="9"/>
      <c r="AB309" s="7"/>
      <c r="AC309" s="7"/>
      <c r="AD309" s="7"/>
      <c r="AE309" s="7"/>
      <c r="AF309" s="14" t="str">
        <f aca="false">IF(D309="","",COUNTIF($D$2:D309,D309))</f>
        <v/>
      </c>
      <c r="AG309" s="15" t="str">
        <f aca="false" t="array" ref="AG309:AG309">IF(D309="","",IFERROR(MEDIAN(IF(($D$2:$D$401=D309)*($AF$2:$AF$401&gt;=AF309-5)*($AF$2:$AF$401&lt;=AF309-1)*($M$2:$M$401&lt;&gt;""),$M$2:$M$401)),""))</f>
        <v/>
      </c>
      <c r="AH309" s="16" t="str">
        <f aca="false">IF(AND(ISNUMBER(M309),ISNUMBER(AG309)),IF(AG309&gt;0,M309/AG309,""),"")</f>
        <v/>
      </c>
      <c r="AI309" s="15" t="str">
        <f aca="false" t="array" ref="AI309:AI309">IF(D309="","",IFERROR(MEDIAN(IF(($D$2:$D$401=D309)*($AF$2:$AF$401&gt;=AF309-5)*($AF$2:$AF$401&lt;=AF309-1)*($N$2:$N$401&lt;&gt;""),$N$2:$N$401)),""))</f>
        <v/>
      </c>
      <c r="AJ309" s="16" t="str">
        <f aca="false">IF(AND(ISNUMBER(N309),ISNUMBER(AI309)),IF(AI309&gt;0,N309/AI309,""),"")</f>
        <v/>
      </c>
      <c r="AK309" s="12" t="str">
        <f aca="false" t="array" ref="AK309:AK309">IF(D309="","",IFERROR(MEDIAN(IF(($D$2:$D$401=D309)*ISNUMBER($R$2:$R$401),$R$2:$R$401)),""))</f>
        <v/>
      </c>
      <c r="AL309" s="17" t="str">
        <f aca="false">IF(ISNUMBER(AJ309),IF(AND(AJ309&gt;=Resumen!$C$5,OR(NOT(ISNUMBER(R309)),NOT(ISNUMBER(AK309)),R309&gt;=AK309)),"Ganador",IF(AJ309&lt;=Resumen!$C$6,"Perdedor","Normal")),IF(ISNUMBER(AH309),IF(AH309&gt;=Resumen!$C$5,"Ganador (7 d, provisional)",IF(AH309&lt;=Resumen!$C$6,"Perdedor (7 d, provisional)","Normal (7 d, provisional)")),""))</f>
        <v/>
      </c>
      <c r="AM309" s="18" t="str">
        <f aca="false">IF(AND(ISNUMBER(Z309),ISNUMBER(N309)),IF(N309&gt;0,Z309/N309*1000,""),"")</f>
        <v/>
      </c>
      <c r="AN309" s="19" t="str">
        <f aca="false">IF(AND(ISNUMBER(U309),ISNUMBER(N309)),IF(N309&gt;0,U309/N309*1000,""),"")</f>
        <v/>
      </c>
    </row>
    <row r="310" customFormat="false" ht="15" hidden="false" customHeight="false" outlineLevel="0" collapsed="false">
      <c r="A310" s="7"/>
      <c r="B310" s="7"/>
      <c r="C310" s="8"/>
      <c r="D310" s="7"/>
      <c r="E310" s="7"/>
      <c r="F310" s="7"/>
      <c r="G310" s="7"/>
      <c r="H310" s="7"/>
      <c r="I310" s="7"/>
      <c r="J310" s="7"/>
      <c r="K310" s="9"/>
      <c r="L310" s="10"/>
      <c r="M310" s="10"/>
      <c r="N310" s="10"/>
      <c r="O310" s="10"/>
      <c r="P310" s="11"/>
      <c r="Q310" s="9"/>
      <c r="R310" s="12" t="str">
        <f aca="false">IF(AND(ISNUMBER(K310),ISNUMBER(Q310),K310&gt;0),Q310/K310,"")</f>
        <v/>
      </c>
      <c r="S310" s="11"/>
      <c r="T310" s="9"/>
      <c r="U310" s="10"/>
      <c r="V310" s="11"/>
      <c r="W310" s="11"/>
      <c r="X310" s="11"/>
      <c r="Y310" s="12" t="str">
        <f aca="false">IF(COUNT(V310:X310)=0,"",MAX(0,1-SUM(V310:X310)))</f>
        <v/>
      </c>
      <c r="Z310" s="13"/>
      <c r="AA310" s="9"/>
      <c r="AB310" s="7"/>
      <c r="AC310" s="7"/>
      <c r="AD310" s="7"/>
      <c r="AE310" s="7"/>
      <c r="AF310" s="14" t="str">
        <f aca="false">IF(D310="","",COUNTIF($D$2:D310,D310))</f>
        <v/>
      </c>
      <c r="AG310" s="15" t="str">
        <f aca="false" t="array" ref="AG310:AG310">IF(D310="","",IFERROR(MEDIAN(IF(($D$2:$D$401=D310)*($AF$2:$AF$401&gt;=AF310-5)*($AF$2:$AF$401&lt;=AF310-1)*($M$2:$M$401&lt;&gt;""),$M$2:$M$401)),""))</f>
        <v/>
      </c>
      <c r="AH310" s="16" t="str">
        <f aca="false">IF(AND(ISNUMBER(M310),ISNUMBER(AG310)),IF(AG310&gt;0,M310/AG310,""),"")</f>
        <v/>
      </c>
      <c r="AI310" s="15" t="str">
        <f aca="false" t="array" ref="AI310:AI310">IF(D310="","",IFERROR(MEDIAN(IF(($D$2:$D$401=D310)*($AF$2:$AF$401&gt;=AF310-5)*($AF$2:$AF$401&lt;=AF310-1)*($N$2:$N$401&lt;&gt;""),$N$2:$N$401)),""))</f>
        <v/>
      </c>
      <c r="AJ310" s="16" t="str">
        <f aca="false">IF(AND(ISNUMBER(N310),ISNUMBER(AI310)),IF(AI310&gt;0,N310/AI310,""),"")</f>
        <v/>
      </c>
      <c r="AK310" s="12" t="str">
        <f aca="false" t="array" ref="AK310:AK310">IF(D310="","",IFERROR(MEDIAN(IF(($D$2:$D$401=D310)*ISNUMBER($R$2:$R$401),$R$2:$R$401)),""))</f>
        <v/>
      </c>
      <c r="AL310" s="17" t="str">
        <f aca="false">IF(ISNUMBER(AJ310),IF(AND(AJ310&gt;=Resumen!$C$5,OR(NOT(ISNUMBER(R310)),NOT(ISNUMBER(AK310)),R310&gt;=AK310)),"Ganador",IF(AJ310&lt;=Resumen!$C$6,"Perdedor","Normal")),IF(ISNUMBER(AH310),IF(AH310&gt;=Resumen!$C$5,"Ganador (7 d, provisional)",IF(AH310&lt;=Resumen!$C$6,"Perdedor (7 d, provisional)","Normal (7 d, provisional)")),""))</f>
        <v/>
      </c>
      <c r="AM310" s="18" t="str">
        <f aca="false">IF(AND(ISNUMBER(Z310),ISNUMBER(N310)),IF(N310&gt;0,Z310/N310*1000,""),"")</f>
        <v/>
      </c>
      <c r="AN310" s="19" t="str">
        <f aca="false">IF(AND(ISNUMBER(U310),ISNUMBER(N310)),IF(N310&gt;0,U310/N310*1000,""),"")</f>
        <v/>
      </c>
    </row>
    <row r="311" customFormat="false" ht="15" hidden="false" customHeight="false" outlineLevel="0" collapsed="false">
      <c r="A311" s="7"/>
      <c r="B311" s="7"/>
      <c r="C311" s="8"/>
      <c r="D311" s="7"/>
      <c r="E311" s="7"/>
      <c r="F311" s="7"/>
      <c r="G311" s="7"/>
      <c r="H311" s="7"/>
      <c r="I311" s="7"/>
      <c r="J311" s="7"/>
      <c r="K311" s="9"/>
      <c r="L311" s="10"/>
      <c r="M311" s="10"/>
      <c r="N311" s="10"/>
      <c r="O311" s="10"/>
      <c r="P311" s="11"/>
      <c r="Q311" s="9"/>
      <c r="R311" s="12" t="str">
        <f aca="false">IF(AND(ISNUMBER(K311),ISNUMBER(Q311),K311&gt;0),Q311/K311,"")</f>
        <v/>
      </c>
      <c r="S311" s="11"/>
      <c r="T311" s="9"/>
      <c r="U311" s="10"/>
      <c r="V311" s="11"/>
      <c r="W311" s="11"/>
      <c r="X311" s="11"/>
      <c r="Y311" s="12" t="str">
        <f aca="false">IF(COUNT(V311:X311)=0,"",MAX(0,1-SUM(V311:X311)))</f>
        <v/>
      </c>
      <c r="Z311" s="13"/>
      <c r="AA311" s="9"/>
      <c r="AB311" s="7"/>
      <c r="AC311" s="7"/>
      <c r="AD311" s="7"/>
      <c r="AE311" s="7"/>
      <c r="AF311" s="14" t="str">
        <f aca="false">IF(D311="","",COUNTIF($D$2:D311,D311))</f>
        <v/>
      </c>
      <c r="AG311" s="15" t="str">
        <f aca="false" t="array" ref="AG311:AG311">IF(D311="","",IFERROR(MEDIAN(IF(($D$2:$D$401=D311)*($AF$2:$AF$401&gt;=AF311-5)*($AF$2:$AF$401&lt;=AF311-1)*($M$2:$M$401&lt;&gt;""),$M$2:$M$401)),""))</f>
        <v/>
      </c>
      <c r="AH311" s="16" t="str">
        <f aca="false">IF(AND(ISNUMBER(M311),ISNUMBER(AG311)),IF(AG311&gt;0,M311/AG311,""),"")</f>
        <v/>
      </c>
      <c r="AI311" s="15" t="str">
        <f aca="false" t="array" ref="AI311:AI311">IF(D311="","",IFERROR(MEDIAN(IF(($D$2:$D$401=D311)*($AF$2:$AF$401&gt;=AF311-5)*($AF$2:$AF$401&lt;=AF311-1)*($N$2:$N$401&lt;&gt;""),$N$2:$N$401)),""))</f>
        <v/>
      </c>
      <c r="AJ311" s="16" t="str">
        <f aca="false">IF(AND(ISNUMBER(N311),ISNUMBER(AI311)),IF(AI311&gt;0,N311/AI311,""),"")</f>
        <v/>
      </c>
      <c r="AK311" s="12" t="str">
        <f aca="false" t="array" ref="AK311:AK311">IF(D311="","",IFERROR(MEDIAN(IF(($D$2:$D$401=D311)*ISNUMBER($R$2:$R$401),$R$2:$R$401)),""))</f>
        <v/>
      </c>
      <c r="AL311" s="17" t="str">
        <f aca="false">IF(ISNUMBER(AJ311),IF(AND(AJ311&gt;=Resumen!$C$5,OR(NOT(ISNUMBER(R311)),NOT(ISNUMBER(AK311)),R311&gt;=AK311)),"Ganador",IF(AJ311&lt;=Resumen!$C$6,"Perdedor","Normal")),IF(ISNUMBER(AH311),IF(AH311&gt;=Resumen!$C$5,"Ganador (7 d, provisional)",IF(AH311&lt;=Resumen!$C$6,"Perdedor (7 d, provisional)","Normal (7 d, provisional)")),""))</f>
        <v/>
      </c>
      <c r="AM311" s="18" t="str">
        <f aca="false">IF(AND(ISNUMBER(Z311),ISNUMBER(N311)),IF(N311&gt;0,Z311/N311*1000,""),"")</f>
        <v/>
      </c>
      <c r="AN311" s="19" t="str">
        <f aca="false">IF(AND(ISNUMBER(U311),ISNUMBER(N311)),IF(N311&gt;0,U311/N311*1000,""),"")</f>
        <v/>
      </c>
    </row>
    <row r="312" customFormat="false" ht="15" hidden="false" customHeight="false" outlineLevel="0" collapsed="false">
      <c r="A312" s="7"/>
      <c r="B312" s="7"/>
      <c r="C312" s="8"/>
      <c r="D312" s="7"/>
      <c r="E312" s="7"/>
      <c r="F312" s="7"/>
      <c r="G312" s="7"/>
      <c r="H312" s="7"/>
      <c r="I312" s="7"/>
      <c r="J312" s="7"/>
      <c r="K312" s="9"/>
      <c r="L312" s="10"/>
      <c r="M312" s="10"/>
      <c r="N312" s="10"/>
      <c r="O312" s="10"/>
      <c r="P312" s="11"/>
      <c r="Q312" s="9"/>
      <c r="R312" s="12" t="str">
        <f aca="false">IF(AND(ISNUMBER(K312),ISNUMBER(Q312),K312&gt;0),Q312/K312,"")</f>
        <v/>
      </c>
      <c r="S312" s="11"/>
      <c r="T312" s="9"/>
      <c r="U312" s="10"/>
      <c r="V312" s="11"/>
      <c r="W312" s="11"/>
      <c r="X312" s="11"/>
      <c r="Y312" s="12" t="str">
        <f aca="false">IF(COUNT(V312:X312)=0,"",MAX(0,1-SUM(V312:X312)))</f>
        <v/>
      </c>
      <c r="Z312" s="13"/>
      <c r="AA312" s="9"/>
      <c r="AB312" s="7"/>
      <c r="AC312" s="7"/>
      <c r="AD312" s="7"/>
      <c r="AE312" s="7"/>
      <c r="AF312" s="14" t="str">
        <f aca="false">IF(D312="","",COUNTIF($D$2:D312,D312))</f>
        <v/>
      </c>
      <c r="AG312" s="15" t="str">
        <f aca="false" t="array" ref="AG312:AG312">IF(D312="","",IFERROR(MEDIAN(IF(($D$2:$D$401=D312)*($AF$2:$AF$401&gt;=AF312-5)*($AF$2:$AF$401&lt;=AF312-1)*($M$2:$M$401&lt;&gt;""),$M$2:$M$401)),""))</f>
        <v/>
      </c>
      <c r="AH312" s="16" t="str">
        <f aca="false">IF(AND(ISNUMBER(M312),ISNUMBER(AG312)),IF(AG312&gt;0,M312/AG312,""),"")</f>
        <v/>
      </c>
      <c r="AI312" s="15" t="str">
        <f aca="false" t="array" ref="AI312:AI312">IF(D312="","",IFERROR(MEDIAN(IF(($D$2:$D$401=D312)*($AF$2:$AF$401&gt;=AF312-5)*($AF$2:$AF$401&lt;=AF312-1)*($N$2:$N$401&lt;&gt;""),$N$2:$N$401)),""))</f>
        <v/>
      </c>
      <c r="AJ312" s="16" t="str">
        <f aca="false">IF(AND(ISNUMBER(N312),ISNUMBER(AI312)),IF(AI312&gt;0,N312/AI312,""),"")</f>
        <v/>
      </c>
      <c r="AK312" s="12" t="str">
        <f aca="false" t="array" ref="AK312:AK312">IF(D312="","",IFERROR(MEDIAN(IF(($D$2:$D$401=D312)*ISNUMBER($R$2:$R$401),$R$2:$R$401)),""))</f>
        <v/>
      </c>
      <c r="AL312" s="17" t="str">
        <f aca="false">IF(ISNUMBER(AJ312),IF(AND(AJ312&gt;=Resumen!$C$5,OR(NOT(ISNUMBER(R312)),NOT(ISNUMBER(AK312)),R312&gt;=AK312)),"Ganador",IF(AJ312&lt;=Resumen!$C$6,"Perdedor","Normal")),IF(ISNUMBER(AH312),IF(AH312&gt;=Resumen!$C$5,"Ganador (7 d, provisional)",IF(AH312&lt;=Resumen!$C$6,"Perdedor (7 d, provisional)","Normal (7 d, provisional)")),""))</f>
        <v/>
      </c>
      <c r="AM312" s="18" t="str">
        <f aca="false">IF(AND(ISNUMBER(Z312),ISNUMBER(N312)),IF(N312&gt;0,Z312/N312*1000,""),"")</f>
        <v/>
      </c>
      <c r="AN312" s="19" t="str">
        <f aca="false">IF(AND(ISNUMBER(U312),ISNUMBER(N312)),IF(N312&gt;0,U312/N312*1000,""),"")</f>
        <v/>
      </c>
    </row>
    <row r="313" customFormat="false" ht="15" hidden="false" customHeight="false" outlineLevel="0" collapsed="false">
      <c r="A313" s="7"/>
      <c r="B313" s="7"/>
      <c r="C313" s="8"/>
      <c r="D313" s="7"/>
      <c r="E313" s="7"/>
      <c r="F313" s="7"/>
      <c r="G313" s="7"/>
      <c r="H313" s="7"/>
      <c r="I313" s="7"/>
      <c r="J313" s="7"/>
      <c r="K313" s="9"/>
      <c r="L313" s="10"/>
      <c r="M313" s="10"/>
      <c r="N313" s="10"/>
      <c r="O313" s="10"/>
      <c r="P313" s="11"/>
      <c r="Q313" s="9"/>
      <c r="R313" s="12" t="str">
        <f aca="false">IF(AND(ISNUMBER(K313),ISNUMBER(Q313),K313&gt;0),Q313/K313,"")</f>
        <v/>
      </c>
      <c r="S313" s="11"/>
      <c r="T313" s="9"/>
      <c r="U313" s="10"/>
      <c r="V313" s="11"/>
      <c r="W313" s="11"/>
      <c r="X313" s="11"/>
      <c r="Y313" s="12" t="str">
        <f aca="false">IF(COUNT(V313:X313)=0,"",MAX(0,1-SUM(V313:X313)))</f>
        <v/>
      </c>
      <c r="Z313" s="13"/>
      <c r="AA313" s="9"/>
      <c r="AB313" s="7"/>
      <c r="AC313" s="7"/>
      <c r="AD313" s="7"/>
      <c r="AE313" s="7"/>
      <c r="AF313" s="14" t="str">
        <f aca="false">IF(D313="","",COUNTIF($D$2:D313,D313))</f>
        <v/>
      </c>
      <c r="AG313" s="15" t="str">
        <f aca="false" t="array" ref="AG313:AG313">IF(D313="","",IFERROR(MEDIAN(IF(($D$2:$D$401=D313)*($AF$2:$AF$401&gt;=AF313-5)*($AF$2:$AF$401&lt;=AF313-1)*($M$2:$M$401&lt;&gt;""),$M$2:$M$401)),""))</f>
        <v/>
      </c>
      <c r="AH313" s="16" t="str">
        <f aca="false">IF(AND(ISNUMBER(M313),ISNUMBER(AG313)),IF(AG313&gt;0,M313/AG313,""),"")</f>
        <v/>
      </c>
      <c r="AI313" s="15" t="str">
        <f aca="false" t="array" ref="AI313:AI313">IF(D313="","",IFERROR(MEDIAN(IF(($D$2:$D$401=D313)*($AF$2:$AF$401&gt;=AF313-5)*($AF$2:$AF$401&lt;=AF313-1)*($N$2:$N$401&lt;&gt;""),$N$2:$N$401)),""))</f>
        <v/>
      </c>
      <c r="AJ313" s="16" t="str">
        <f aca="false">IF(AND(ISNUMBER(N313),ISNUMBER(AI313)),IF(AI313&gt;0,N313/AI313,""),"")</f>
        <v/>
      </c>
      <c r="AK313" s="12" t="str">
        <f aca="false" t="array" ref="AK313:AK313">IF(D313="","",IFERROR(MEDIAN(IF(($D$2:$D$401=D313)*ISNUMBER($R$2:$R$401),$R$2:$R$401)),""))</f>
        <v/>
      </c>
      <c r="AL313" s="17" t="str">
        <f aca="false">IF(ISNUMBER(AJ313),IF(AND(AJ313&gt;=Resumen!$C$5,OR(NOT(ISNUMBER(R313)),NOT(ISNUMBER(AK313)),R313&gt;=AK313)),"Ganador",IF(AJ313&lt;=Resumen!$C$6,"Perdedor","Normal")),IF(ISNUMBER(AH313),IF(AH313&gt;=Resumen!$C$5,"Ganador (7 d, provisional)",IF(AH313&lt;=Resumen!$C$6,"Perdedor (7 d, provisional)","Normal (7 d, provisional)")),""))</f>
        <v/>
      </c>
      <c r="AM313" s="18" t="str">
        <f aca="false">IF(AND(ISNUMBER(Z313),ISNUMBER(N313)),IF(N313&gt;0,Z313/N313*1000,""),"")</f>
        <v/>
      </c>
      <c r="AN313" s="19" t="str">
        <f aca="false">IF(AND(ISNUMBER(U313),ISNUMBER(N313)),IF(N313&gt;0,U313/N313*1000,""),"")</f>
        <v/>
      </c>
    </row>
    <row r="314" customFormat="false" ht="15" hidden="false" customHeight="false" outlineLevel="0" collapsed="false">
      <c r="A314" s="7"/>
      <c r="B314" s="7"/>
      <c r="C314" s="8"/>
      <c r="D314" s="7"/>
      <c r="E314" s="7"/>
      <c r="F314" s="7"/>
      <c r="G314" s="7"/>
      <c r="H314" s="7"/>
      <c r="I314" s="7"/>
      <c r="J314" s="7"/>
      <c r="K314" s="9"/>
      <c r="L314" s="10"/>
      <c r="M314" s="10"/>
      <c r="N314" s="10"/>
      <c r="O314" s="10"/>
      <c r="P314" s="11"/>
      <c r="Q314" s="9"/>
      <c r="R314" s="12" t="str">
        <f aca="false">IF(AND(ISNUMBER(K314),ISNUMBER(Q314),K314&gt;0),Q314/K314,"")</f>
        <v/>
      </c>
      <c r="S314" s="11"/>
      <c r="T314" s="9"/>
      <c r="U314" s="10"/>
      <c r="V314" s="11"/>
      <c r="W314" s="11"/>
      <c r="X314" s="11"/>
      <c r="Y314" s="12" t="str">
        <f aca="false">IF(COUNT(V314:X314)=0,"",MAX(0,1-SUM(V314:X314)))</f>
        <v/>
      </c>
      <c r="Z314" s="13"/>
      <c r="AA314" s="9"/>
      <c r="AB314" s="7"/>
      <c r="AC314" s="7"/>
      <c r="AD314" s="7"/>
      <c r="AE314" s="7"/>
      <c r="AF314" s="14" t="str">
        <f aca="false">IF(D314="","",COUNTIF($D$2:D314,D314))</f>
        <v/>
      </c>
      <c r="AG314" s="15" t="str">
        <f aca="false" t="array" ref="AG314:AG314">IF(D314="","",IFERROR(MEDIAN(IF(($D$2:$D$401=D314)*($AF$2:$AF$401&gt;=AF314-5)*($AF$2:$AF$401&lt;=AF314-1)*($M$2:$M$401&lt;&gt;""),$M$2:$M$401)),""))</f>
        <v/>
      </c>
      <c r="AH314" s="16" t="str">
        <f aca="false">IF(AND(ISNUMBER(M314),ISNUMBER(AG314)),IF(AG314&gt;0,M314/AG314,""),"")</f>
        <v/>
      </c>
      <c r="AI314" s="15" t="str">
        <f aca="false" t="array" ref="AI314:AI314">IF(D314="","",IFERROR(MEDIAN(IF(($D$2:$D$401=D314)*($AF$2:$AF$401&gt;=AF314-5)*($AF$2:$AF$401&lt;=AF314-1)*($N$2:$N$401&lt;&gt;""),$N$2:$N$401)),""))</f>
        <v/>
      </c>
      <c r="AJ314" s="16" t="str">
        <f aca="false">IF(AND(ISNUMBER(N314),ISNUMBER(AI314)),IF(AI314&gt;0,N314/AI314,""),"")</f>
        <v/>
      </c>
      <c r="AK314" s="12" t="str">
        <f aca="false" t="array" ref="AK314:AK314">IF(D314="","",IFERROR(MEDIAN(IF(($D$2:$D$401=D314)*ISNUMBER($R$2:$R$401),$R$2:$R$401)),""))</f>
        <v/>
      </c>
      <c r="AL314" s="17" t="str">
        <f aca="false">IF(ISNUMBER(AJ314),IF(AND(AJ314&gt;=Resumen!$C$5,OR(NOT(ISNUMBER(R314)),NOT(ISNUMBER(AK314)),R314&gt;=AK314)),"Ganador",IF(AJ314&lt;=Resumen!$C$6,"Perdedor","Normal")),IF(ISNUMBER(AH314),IF(AH314&gt;=Resumen!$C$5,"Ganador (7 d, provisional)",IF(AH314&lt;=Resumen!$C$6,"Perdedor (7 d, provisional)","Normal (7 d, provisional)")),""))</f>
        <v/>
      </c>
      <c r="AM314" s="18" t="str">
        <f aca="false">IF(AND(ISNUMBER(Z314),ISNUMBER(N314)),IF(N314&gt;0,Z314/N314*1000,""),"")</f>
        <v/>
      </c>
      <c r="AN314" s="19" t="str">
        <f aca="false">IF(AND(ISNUMBER(U314),ISNUMBER(N314)),IF(N314&gt;0,U314/N314*1000,""),"")</f>
        <v/>
      </c>
    </row>
    <row r="315" customFormat="false" ht="15" hidden="false" customHeight="false" outlineLevel="0" collapsed="false">
      <c r="A315" s="7"/>
      <c r="B315" s="7"/>
      <c r="C315" s="8"/>
      <c r="D315" s="7"/>
      <c r="E315" s="7"/>
      <c r="F315" s="7"/>
      <c r="G315" s="7"/>
      <c r="H315" s="7"/>
      <c r="I315" s="7"/>
      <c r="J315" s="7"/>
      <c r="K315" s="9"/>
      <c r="L315" s="10"/>
      <c r="M315" s="10"/>
      <c r="N315" s="10"/>
      <c r="O315" s="10"/>
      <c r="P315" s="11"/>
      <c r="Q315" s="9"/>
      <c r="R315" s="12" t="str">
        <f aca="false">IF(AND(ISNUMBER(K315),ISNUMBER(Q315),K315&gt;0),Q315/K315,"")</f>
        <v/>
      </c>
      <c r="S315" s="11"/>
      <c r="T315" s="9"/>
      <c r="U315" s="10"/>
      <c r="V315" s="11"/>
      <c r="W315" s="11"/>
      <c r="X315" s="11"/>
      <c r="Y315" s="12" t="str">
        <f aca="false">IF(COUNT(V315:X315)=0,"",MAX(0,1-SUM(V315:X315)))</f>
        <v/>
      </c>
      <c r="Z315" s="13"/>
      <c r="AA315" s="9"/>
      <c r="AB315" s="7"/>
      <c r="AC315" s="7"/>
      <c r="AD315" s="7"/>
      <c r="AE315" s="7"/>
      <c r="AF315" s="14" t="str">
        <f aca="false">IF(D315="","",COUNTIF($D$2:D315,D315))</f>
        <v/>
      </c>
      <c r="AG315" s="15" t="str">
        <f aca="false" t="array" ref="AG315:AG315">IF(D315="","",IFERROR(MEDIAN(IF(($D$2:$D$401=D315)*($AF$2:$AF$401&gt;=AF315-5)*($AF$2:$AF$401&lt;=AF315-1)*($M$2:$M$401&lt;&gt;""),$M$2:$M$401)),""))</f>
        <v/>
      </c>
      <c r="AH315" s="16" t="str">
        <f aca="false">IF(AND(ISNUMBER(M315),ISNUMBER(AG315)),IF(AG315&gt;0,M315/AG315,""),"")</f>
        <v/>
      </c>
      <c r="AI315" s="15" t="str">
        <f aca="false" t="array" ref="AI315:AI315">IF(D315="","",IFERROR(MEDIAN(IF(($D$2:$D$401=D315)*($AF$2:$AF$401&gt;=AF315-5)*($AF$2:$AF$401&lt;=AF315-1)*($N$2:$N$401&lt;&gt;""),$N$2:$N$401)),""))</f>
        <v/>
      </c>
      <c r="AJ315" s="16" t="str">
        <f aca="false">IF(AND(ISNUMBER(N315),ISNUMBER(AI315)),IF(AI315&gt;0,N315/AI315,""),"")</f>
        <v/>
      </c>
      <c r="AK315" s="12" t="str">
        <f aca="false" t="array" ref="AK315:AK315">IF(D315="","",IFERROR(MEDIAN(IF(($D$2:$D$401=D315)*ISNUMBER($R$2:$R$401),$R$2:$R$401)),""))</f>
        <v/>
      </c>
      <c r="AL315" s="17" t="str">
        <f aca="false">IF(ISNUMBER(AJ315),IF(AND(AJ315&gt;=Resumen!$C$5,OR(NOT(ISNUMBER(R315)),NOT(ISNUMBER(AK315)),R315&gt;=AK315)),"Ganador",IF(AJ315&lt;=Resumen!$C$6,"Perdedor","Normal")),IF(ISNUMBER(AH315),IF(AH315&gt;=Resumen!$C$5,"Ganador (7 d, provisional)",IF(AH315&lt;=Resumen!$C$6,"Perdedor (7 d, provisional)","Normal (7 d, provisional)")),""))</f>
        <v/>
      </c>
      <c r="AM315" s="18" t="str">
        <f aca="false">IF(AND(ISNUMBER(Z315),ISNUMBER(N315)),IF(N315&gt;0,Z315/N315*1000,""),"")</f>
        <v/>
      </c>
      <c r="AN315" s="19" t="str">
        <f aca="false">IF(AND(ISNUMBER(U315),ISNUMBER(N315)),IF(N315&gt;0,U315/N315*1000,""),"")</f>
        <v/>
      </c>
    </row>
    <row r="316" customFormat="false" ht="15" hidden="false" customHeight="false" outlineLevel="0" collapsed="false">
      <c r="A316" s="7"/>
      <c r="B316" s="7"/>
      <c r="C316" s="8"/>
      <c r="D316" s="7"/>
      <c r="E316" s="7"/>
      <c r="F316" s="7"/>
      <c r="G316" s="7"/>
      <c r="H316" s="7"/>
      <c r="I316" s="7"/>
      <c r="J316" s="7"/>
      <c r="K316" s="9"/>
      <c r="L316" s="10"/>
      <c r="M316" s="10"/>
      <c r="N316" s="10"/>
      <c r="O316" s="10"/>
      <c r="P316" s="11"/>
      <c r="Q316" s="9"/>
      <c r="R316" s="12" t="str">
        <f aca="false">IF(AND(ISNUMBER(K316),ISNUMBER(Q316),K316&gt;0),Q316/K316,"")</f>
        <v/>
      </c>
      <c r="S316" s="11"/>
      <c r="T316" s="9"/>
      <c r="U316" s="10"/>
      <c r="V316" s="11"/>
      <c r="W316" s="11"/>
      <c r="X316" s="11"/>
      <c r="Y316" s="12" t="str">
        <f aca="false">IF(COUNT(V316:X316)=0,"",MAX(0,1-SUM(V316:X316)))</f>
        <v/>
      </c>
      <c r="Z316" s="13"/>
      <c r="AA316" s="9"/>
      <c r="AB316" s="7"/>
      <c r="AC316" s="7"/>
      <c r="AD316" s="7"/>
      <c r="AE316" s="7"/>
      <c r="AF316" s="14" t="str">
        <f aca="false">IF(D316="","",COUNTIF($D$2:D316,D316))</f>
        <v/>
      </c>
      <c r="AG316" s="15" t="str">
        <f aca="false" t="array" ref="AG316:AG316">IF(D316="","",IFERROR(MEDIAN(IF(($D$2:$D$401=D316)*($AF$2:$AF$401&gt;=AF316-5)*($AF$2:$AF$401&lt;=AF316-1)*($M$2:$M$401&lt;&gt;""),$M$2:$M$401)),""))</f>
        <v/>
      </c>
      <c r="AH316" s="16" t="str">
        <f aca="false">IF(AND(ISNUMBER(M316),ISNUMBER(AG316)),IF(AG316&gt;0,M316/AG316,""),"")</f>
        <v/>
      </c>
      <c r="AI316" s="15" t="str">
        <f aca="false" t="array" ref="AI316:AI316">IF(D316="","",IFERROR(MEDIAN(IF(($D$2:$D$401=D316)*($AF$2:$AF$401&gt;=AF316-5)*($AF$2:$AF$401&lt;=AF316-1)*($N$2:$N$401&lt;&gt;""),$N$2:$N$401)),""))</f>
        <v/>
      </c>
      <c r="AJ316" s="16" t="str">
        <f aca="false">IF(AND(ISNUMBER(N316),ISNUMBER(AI316)),IF(AI316&gt;0,N316/AI316,""),"")</f>
        <v/>
      </c>
      <c r="AK316" s="12" t="str">
        <f aca="false" t="array" ref="AK316:AK316">IF(D316="","",IFERROR(MEDIAN(IF(($D$2:$D$401=D316)*ISNUMBER($R$2:$R$401),$R$2:$R$401)),""))</f>
        <v/>
      </c>
      <c r="AL316" s="17" t="str">
        <f aca="false">IF(ISNUMBER(AJ316),IF(AND(AJ316&gt;=Resumen!$C$5,OR(NOT(ISNUMBER(R316)),NOT(ISNUMBER(AK316)),R316&gt;=AK316)),"Ganador",IF(AJ316&lt;=Resumen!$C$6,"Perdedor","Normal")),IF(ISNUMBER(AH316),IF(AH316&gt;=Resumen!$C$5,"Ganador (7 d, provisional)",IF(AH316&lt;=Resumen!$C$6,"Perdedor (7 d, provisional)","Normal (7 d, provisional)")),""))</f>
        <v/>
      </c>
      <c r="AM316" s="18" t="str">
        <f aca="false">IF(AND(ISNUMBER(Z316),ISNUMBER(N316)),IF(N316&gt;0,Z316/N316*1000,""),"")</f>
        <v/>
      </c>
      <c r="AN316" s="19" t="str">
        <f aca="false">IF(AND(ISNUMBER(U316),ISNUMBER(N316)),IF(N316&gt;0,U316/N316*1000,""),"")</f>
        <v/>
      </c>
    </row>
    <row r="317" customFormat="false" ht="15" hidden="false" customHeight="false" outlineLevel="0" collapsed="false">
      <c r="A317" s="7"/>
      <c r="B317" s="7"/>
      <c r="C317" s="8"/>
      <c r="D317" s="7"/>
      <c r="E317" s="7"/>
      <c r="F317" s="7"/>
      <c r="G317" s="7"/>
      <c r="H317" s="7"/>
      <c r="I317" s="7"/>
      <c r="J317" s="7"/>
      <c r="K317" s="9"/>
      <c r="L317" s="10"/>
      <c r="M317" s="10"/>
      <c r="N317" s="10"/>
      <c r="O317" s="10"/>
      <c r="P317" s="11"/>
      <c r="Q317" s="9"/>
      <c r="R317" s="12" t="str">
        <f aca="false">IF(AND(ISNUMBER(K317),ISNUMBER(Q317),K317&gt;0),Q317/K317,"")</f>
        <v/>
      </c>
      <c r="S317" s="11"/>
      <c r="T317" s="9"/>
      <c r="U317" s="10"/>
      <c r="V317" s="11"/>
      <c r="W317" s="11"/>
      <c r="X317" s="11"/>
      <c r="Y317" s="12" t="str">
        <f aca="false">IF(COUNT(V317:X317)=0,"",MAX(0,1-SUM(V317:X317)))</f>
        <v/>
      </c>
      <c r="Z317" s="13"/>
      <c r="AA317" s="9"/>
      <c r="AB317" s="7"/>
      <c r="AC317" s="7"/>
      <c r="AD317" s="7"/>
      <c r="AE317" s="7"/>
      <c r="AF317" s="14" t="str">
        <f aca="false">IF(D317="","",COUNTIF($D$2:D317,D317))</f>
        <v/>
      </c>
      <c r="AG317" s="15" t="str">
        <f aca="false" t="array" ref="AG317:AG317">IF(D317="","",IFERROR(MEDIAN(IF(($D$2:$D$401=D317)*($AF$2:$AF$401&gt;=AF317-5)*($AF$2:$AF$401&lt;=AF317-1)*($M$2:$M$401&lt;&gt;""),$M$2:$M$401)),""))</f>
        <v/>
      </c>
      <c r="AH317" s="16" t="str">
        <f aca="false">IF(AND(ISNUMBER(M317),ISNUMBER(AG317)),IF(AG317&gt;0,M317/AG317,""),"")</f>
        <v/>
      </c>
      <c r="AI317" s="15" t="str">
        <f aca="false" t="array" ref="AI317:AI317">IF(D317="","",IFERROR(MEDIAN(IF(($D$2:$D$401=D317)*($AF$2:$AF$401&gt;=AF317-5)*($AF$2:$AF$401&lt;=AF317-1)*($N$2:$N$401&lt;&gt;""),$N$2:$N$401)),""))</f>
        <v/>
      </c>
      <c r="AJ317" s="16" t="str">
        <f aca="false">IF(AND(ISNUMBER(N317),ISNUMBER(AI317)),IF(AI317&gt;0,N317/AI317,""),"")</f>
        <v/>
      </c>
      <c r="AK317" s="12" t="str">
        <f aca="false" t="array" ref="AK317:AK317">IF(D317="","",IFERROR(MEDIAN(IF(($D$2:$D$401=D317)*ISNUMBER($R$2:$R$401),$R$2:$R$401)),""))</f>
        <v/>
      </c>
      <c r="AL317" s="17" t="str">
        <f aca="false">IF(ISNUMBER(AJ317),IF(AND(AJ317&gt;=Resumen!$C$5,OR(NOT(ISNUMBER(R317)),NOT(ISNUMBER(AK317)),R317&gt;=AK317)),"Ganador",IF(AJ317&lt;=Resumen!$C$6,"Perdedor","Normal")),IF(ISNUMBER(AH317),IF(AH317&gt;=Resumen!$C$5,"Ganador (7 d, provisional)",IF(AH317&lt;=Resumen!$C$6,"Perdedor (7 d, provisional)","Normal (7 d, provisional)")),""))</f>
        <v/>
      </c>
      <c r="AM317" s="18" t="str">
        <f aca="false">IF(AND(ISNUMBER(Z317),ISNUMBER(N317)),IF(N317&gt;0,Z317/N317*1000,""),"")</f>
        <v/>
      </c>
      <c r="AN317" s="19" t="str">
        <f aca="false">IF(AND(ISNUMBER(U317),ISNUMBER(N317)),IF(N317&gt;0,U317/N317*1000,""),"")</f>
        <v/>
      </c>
    </row>
    <row r="318" customFormat="false" ht="15" hidden="false" customHeight="false" outlineLevel="0" collapsed="false">
      <c r="A318" s="7"/>
      <c r="B318" s="7"/>
      <c r="C318" s="8"/>
      <c r="D318" s="7"/>
      <c r="E318" s="7"/>
      <c r="F318" s="7"/>
      <c r="G318" s="7"/>
      <c r="H318" s="7"/>
      <c r="I318" s="7"/>
      <c r="J318" s="7"/>
      <c r="K318" s="9"/>
      <c r="L318" s="10"/>
      <c r="M318" s="10"/>
      <c r="N318" s="10"/>
      <c r="O318" s="10"/>
      <c r="P318" s="11"/>
      <c r="Q318" s="9"/>
      <c r="R318" s="12" t="str">
        <f aca="false">IF(AND(ISNUMBER(K318),ISNUMBER(Q318),K318&gt;0),Q318/K318,"")</f>
        <v/>
      </c>
      <c r="S318" s="11"/>
      <c r="T318" s="9"/>
      <c r="U318" s="10"/>
      <c r="V318" s="11"/>
      <c r="W318" s="11"/>
      <c r="X318" s="11"/>
      <c r="Y318" s="12" t="str">
        <f aca="false">IF(COUNT(V318:X318)=0,"",MAX(0,1-SUM(V318:X318)))</f>
        <v/>
      </c>
      <c r="Z318" s="13"/>
      <c r="AA318" s="9"/>
      <c r="AB318" s="7"/>
      <c r="AC318" s="7"/>
      <c r="AD318" s="7"/>
      <c r="AE318" s="7"/>
      <c r="AF318" s="14" t="str">
        <f aca="false">IF(D318="","",COUNTIF($D$2:D318,D318))</f>
        <v/>
      </c>
      <c r="AG318" s="15" t="str">
        <f aca="false" t="array" ref="AG318:AG318">IF(D318="","",IFERROR(MEDIAN(IF(($D$2:$D$401=D318)*($AF$2:$AF$401&gt;=AF318-5)*($AF$2:$AF$401&lt;=AF318-1)*($M$2:$M$401&lt;&gt;""),$M$2:$M$401)),""))</f>
        <v/>
      </c>
      <c r="AH318" s="16" t="str">
        <f aca="false">IF(AND(ISNUMBER(M318),ISNUMBER(AG318)),IF(AG318&gt;0,M318/AG318,""),"")</f>
        <v/>
      </c>
      <c r="AI318" s="15" t="str">
        <f aca="false" t="array" ref="AI318:AI318">IF(D318="","",IFERROR(MEDIAN(IF(($D$2:$D$401=D318)*($AF$2:$AF$401&gt;=AF318-5)*($AF$2:$AF$401&lt;=AF318-1)*($N$2:$N$401&lt;&gt;""),$N$2:$N$401)),""))</f>
        <v/>
      </c>
      <c r="AJ318" s="16" t="str">
        <f aca="false">IF(AND(ISNUMBER(N318),ISNUMBER(AI318)),IF(AI318&gt;0,N318/AI318,""),"")</f>
        <v/>
      </c>
      <c r="AK318" s="12" t="str">
        <f aca="false" t="array" ref="AK318:AK318">IF(D318="","",IFERROR(MEDIAN(IF(($D$2:$D$401=D318)*ISNUMBER($R$2:$R$401),$R$2:$R$401)),""))</f>
        <v/>
      </c>
      <c r="AL318" s="17" t="str">
        <f aca="false">IF(ISNUMBER(AJ318),IF(AND(AJ318&gt;=Resumen!$C$5,OR(NOT(ISNUMBER(R318)),NOT(ISNUMBER(AK318)),R318&gt;=AK318)),"Ganador",IF(AJ318&lt;=Resumen!$C$6,"Perdedor","Normal")),IF(ISNUMBER(AH318),IF(AH318&gt;=Resumen!$C$5,"Ganador (7 d, provisional)",IF(AH318&lt;=Resumen!$C$6,"Perdedor (7 d, provisional)","Normal (7 d, provisional)")),""))</f>
        <v/>
      </c>
      <c r="AM318" s="18" t="str">
        <f aca="false">IF(AND(ISNUMBER(Z318),ISNUMBER(N318)),IF(N318&gt;0,Z318/N318*1000,""),"")</f>
        <v/>
      </c>
      <c r="AN318" s="19" t="str">
        <f aca="false">IF(AND(ISNUMBER(U318),ISNUMBER(N318)),IF(N318&gt;0,U318/N318*1000,""),"")</f>
        <v/>
      </c>
    </row>
    <row r="319" customFormat="false" ht="15" hidden="false" customHeight="false" outlineLevel="0" collapsed="false">
      <c r="A319" s="7"/>
      <c r="B319" s="7"/>
      <c r="C319" s="8"/>
      <c r="D319" s="7"/>
      <c r="E319" s="7"/>
      <c r="F319" s="7"/>
      <c r="G319" s="7"/>
      <c r="H319" s="7"/>
      <c r="I319" s="7"/>
      <c r="J319" s="7"/>
      <c r="K319" s="9"/>
      <c r="L319" s="10"/>
      <c r="M319" s="10"/>
      <c r="N319" s="10"/>
      <c r="O319" s="10"/>
      <c r="P319" s="11"/>
      <c r="Q319" s="9"/>
      <c r="R319" s="12" t="str">
        <f aca="false">IF(AND(ISNUMBER(K319),ISNUMBER(Q319),K319&gt;0),Q319/K319,"")</f>
        <v/>
      </c>
      <c r="S319" s="11"/>
      <c r="T319" s="9"/>
      <c r="U319" s="10"/>
      <c r="V319" s="11"/>
      <c r="W319" s="11"/>
      <c r="X319" s="11"/>
      <c r="Y319" s="12" t="str">
        <f aca="false">IF(COUNT(V319:X319)=0,"",MAX(0,1-SUM(V319:X319)))</f>
        <v/>
      </c>
      <c r="Z319" s="13"/>
      <c r="AA319" s="9"/>
      <c r="AB319" s="7"/>
      <c r="AC319" s="7"/>
      <c r="AD319" s="7"/>
      <c r="AE319" s="7"/>
      <c r="AF319" s="14" t="str">
        <f aca="false">IF(D319="","",COUNTIF($D$2:D319,D319))</f>
        <v/>
      </c>
      <c r="AG319" s="15" t="str">
        <f aca="false" t="array" ref="AG319:AG319">IF(D319="","",IFERROR(MEDIAN(IF(($D$2:$D$401=D319)*($AF$2:$AF$401&gt;=AF319-5)*($AF$2:$AF$401&lt;=AF319-1)*($M$2:$M$401&lt;&gt;""),$M$2:$M$401)),""))</f>
        <v/>
      </c>
      <c r="AH319" s="16" t="str">
        <f aca="false">IF(AND(ISNUMBER(M319),ISNUMBER(AG319)),IF(AG319&gt;0,M319/AG319,""),"")</f>
        <v/>
      </c>
      <c r="AI319" s="15" t="str">
        <f aca="false" t="array" ref="AI319:AI319">IF(D319="","",IFERROR(MEDIAN(IF(($D$2:$D$401=D319)*($AF$2:$AF$401&gt;=AF319-5)*($AF$2:$AF$401&lt;=AF319-1)*($N$2:$N$401&lt;&gt;""),$N$2:$N$401)),""))</f>
        <v/>
      </c>
      <c r="AJ319" s="16" t="str">
        <f aca="false">IF(AND(ISNUMBER(N319),ISNUMBER(AI319)),IF(AI319&gt;0,N319/AI319,""),"")</f>
        <v/>
      </c>
      <c r="AK319" s="12" t="str">
        <f aca="false" t="array" ref="AK319:AK319">IF(D319="","",IFERROR(MEDIAN(IF(($D$2:$D$401=D319)*ISNUMBER($R$2:$R$401),$R$2:$R$401)),""))</f>
        <v/>
      </c>
      <c r="AL319" s="17" t="str">
        <f aca="false">IF(ISNUMBER(AJ319),IF(AND(AJ319&gt;=Resumen!$C$5,OR(NOT(ISNUMBER(R319)),NOT(ISNUMBER(AK319)),R319&gt;=AK319)),"Ganador",IF(AJ319&lt;=Resumen!$C$6,"Perdedor","Normal")),IF(ISNUMBER(AH319),IF(AH319&gt;=Resumen!$C$5,"Ganador (7 d, provisional)",IF(AH319&lt;=Resumen!$C$6,"Perdedor (7 d, provisional)","Normal (7 d, provisional)")),""))</f>
        <v/>
      </c>
      <c r="AM319" s="18" t="str">
        <f aca="false">IF(AND(ISNUMBER(Z319),ISNUMBER(N319)),IF(N319&gt;0,Z319/N319*1000,""),"")</f>
        <v/>
      </c>
      <c r="AN319" s="19" t="str">
        <f aca="false">IF(AND(ISNUMBER(U319),ISNUMBER(N319)),IF(N319&gt;0,U319/N319*1000,""),"")</f>
        <v/>
      </c>
    </row>
    <row r="320" customFormat="false" ht="15" hidden="false" customHeight="false" outlineLevel="0" collapsed="false">
      <c r="A320" s="7"/>
      <c r="B320" s="7"/>
      <c r="C320" s="8"/>
      <c r="D320" s="7"/>
      <c r="E320" s="7"/>
      <c r="F320" s="7"/>
      <c r="G320" s="7"/>
      <c r="H320" s="7"/>
      <c r="I320" s="7"/>
      <c r="J320" s="7"/>
      <c r="K320" s="9"/>
      <c r="L320" s="10"/>
      <c r="M320" s="10"/>
      <c r="N320" s="10"/>
      <c r="O320" s="10"/>
      <c r="P320" s="11"/>
      <c r="Q320" s="9"/>
      <c r="R320" s="12" t="str">
        <f aca="false">IF(AND(ISNUMBER(K320),ISNUMBER(Q320),K320&gt;0),Q320/K320,"")</f>
        <v/>
      </c>
      <c r="S320" s="11"/>
      <c r="T320" s="9"/>
      <c r="U320" s="10"/>
      <c r="V320" s="11"/>
      <c r="W320" s="11"/>
      <c r="X320" s="11"/>
      <c r="Y320" s="12" t="str">
        <f aca="false">IF(COUNT(V320:X320)=0,"",MAX(0,1-SUM(V320:X320)))</f>
        <v/>
      </c>
      <c r="Z320" s="13"/>
      <c r="AA320" s="9"/>
      <c r="AB320" s="7"/>
      <c r="AC320" s="7"/>
      <c r="AD320" s="7"/>
      <c r="AE320" s="7"/>
      <c r="AF320" s="14" t="str">
        <f aca="false">IF(D320="","",COUNTIF($D$2:D320,D320))</f>
        <v/>
      </c>
      <c r="AG320" s="15" t="str">
        <f aca="false" t="array" ref="AG320:AG320">IF(D320="","",IFERROR(MEDIAN(IF(($D$2:$D$401=D320)*($AF$2:$AF$401&gt;=AF320-5)*($AF$2:$AF$401&lt;=AF320-1)*($M$2:$M$401&lt;&gt;""),$M$2:$M$401)),""))</f>
        <v/>
      </c>
      <c r="AH320" s="16" t="str">
        <f aca="false">IF(AND(ISNUMBER(M320),ISNUMBER(AG320)),IF(AG320&gt;0,M320/AG320,""),"")</f>
        <v/>
      </c>
      <c r="AI320" s="15" t="str">
        <f aca="false" t="array" ref="AI320:AI320">IF(D320="","",IFERROR(MEDIAN(IF(($D$2:$D$401=D320)*($AF$2:$AF$401&gt;=AF320-5)*($AF$2:$AF$401&lt;=AF320-1)*($N$2:$N$401&lt;&gt;""),$N$2:$N$401)),""))</f>
        <v/>
      </c>
      <c r="AJ320" s="16" t="str">
        <f aca="false">IF(AND(ISNUMBER(N320),ISNUMBER(AI320)),IF(AI320&gt;0,N320/AI320,""),"")</f>
        <v/>
      </c>
      <c r="AK320" s="12" t="str">
        <f aca="false" t="array" ref="AK320:AK320">IF(D320="","",IFERROR(MEDIAN(IF(($D$2:$D$401=D320)*ISNUMBER($R$2:$R$401),$R$2:$R$401)),""))</f>
        <v/>
      </c>
      <c r="AL320" s="17" t="str">
        <f aca="false">IF(ISNUMBER(AJ320),IF(AND(AJ320&gt;=Resumen!$C$5,OR(NOT(ISNUMBER(R320)),NOT(ISNUMBER(AK320)),R320&gt;=AK320)),"Ganador",IF(AJ320&lt;=Resumen!$C$6,"Perdedor","Normal")),IF(ISNUMBER(AH320),IF(AH320&gt;=Resumen!$C$5,"Ganador (7 d, provisional)",IF(AH320&lt;=Resumen!$C$6,"Perdedor (7 d, provisional)","Normal (7 d, provisional)")),""))</f>
        <v/>
      </c>
      <c r="AM320" s="18" t="str">
        <f aca="false">IF(AND(ISNUMBER(Z320),ISNUMBER(N320)),IF(N320&gt;0,Z320/N320*1000,""),"")</f>
        <v/>
      </c>
      <c r="AN320" s="19" t="str">
        <f aca="false">IF(AND(ISNUMBER(U320),ISNUMBER(N320)),IF(N320&gt;0,U320/N320*1000,""),"")</f>
        <v/>
      </c>
    </row>
    <row r="321" customFormat="false" ht="15" hidden="false" customHeight="false" outlineLevel="0" collapsed="false">
      <c r="A321" s="7"/>
      <c r="B321" s="7"/>
      <c r="C321" s="8"/>
      <c r="D321" s="7"/>
      <c r="E321" s="7"/>
      <c r="F321" s="7"/>
      <c r="G321" s="7"/>
      <c r="H321" s="7"/>
      <c r="I321" s="7"/>
      <c r="J321" s="7"/>
      <c r="K321" s="9"/>
      <c r="L321" s="10"/>
      <c r="M321" s="10"/>
      <c r="N321" s="10"/>
      <c r="O321" s="10"/>
      <c r="P321" s="11"/>
      <c r="Q321" s="9"/>
      <c r="R321" s="12" t="str">
        <f aca="false">IF(AND(ISNUMBER(K321),ISNUMBER(Q321),K321&gt;0),Q321/K321,"")</f>
        <v/>
      </c>
      <c r="S321" s="11"/>
      <c r="T321" s="9"/>
      <c r="U321" s="10"/>
      <c r="V321" s="11"/>
      <c r="W321" s="11"/>
      <c r="X321" s="11"/>
      <c r="Y321" s="12" t="str">
        <f aca="false">IF(COUNT(V321:X321)=0,"",MAX(0,1-SUM(V321:X321)))</f>
        <v/>
      </c>
      <c r="Z321" s="13"/>
      <c r="AA321" s="9"/>
      <c r="AB321" s="7"/>
      <c r="AC321" s="7"/>
      <c r="AD321" s="7"/>
      <c r="AE321" s="7"/>
      <c r="AF321" s="14" t="str">
        <f aca="false">IF(D321="","",COUNTIF($D$2:D321,D321))</f>
        <v/>
      </c>
      <c r="AG321" s="15" t="str">
        <f aca="false" t="array" ref="AG321:AG321">IF(D321="","",IFERROR(MEDIAN(IF(($D$2:$D$401=D321)*($AF$2:$AF$401&gt;=AF321-5)*($AF$2:$AF$401&lt;=AF321-1)*($M$2:$M$401&lt;&gt;""),$M$2:$M$401)),""))</f>
        <v/>
      </c>
      <c r="AH321" s="16" t="str">
        <f aca="false">IF(AND(ISNUMBER(M321),ISNUMBER(AG321)),IF(AG321&gt;0,M321/AG321,""),"")</f>
        <v/>
      </c>
      <c r="AI321" s="15" t="str">
        <f aca="false" t="array" ref="AI321:AI321">IF(D321="","",IFERROR(MEDIAN(IF(($D$2:$D$401=D321)*($AF$2:$AF$401&gt;=AF321-5)*($AF$2:$AF$401&lt;=AF321-1)*($N$2:$N$401&lt;&gt;""),$N$2:$N$401)),""))</f>
        <v/>
      </c>
      <c r="AJ321" s="16" t="str">
        <f aca="false">IF(AND(ISNUMBER(N321),ISNUMBER(AI321)),IF(AI321&gt;0,N321/AI321,""),"")</f>
        <v/>
      </c>
      <c r="AK321" s="12" t="str">
        <f aca="false" t="array" ref="AK321:AK321">IF(D321="","",IFERROR(MEDIAN(IF(($D$2:$D$401=D321)*ISNUMBER($R$2:$R$401),$R$2:$R$401)),""))</f>
        <v/>
      </c>
      <c r="AL321" s="17" t="str">
        <f aca="false">IF(ISNUMBER(AJ321),IF(AND(AJ321&gt;=Resumen!$C$5,OR(NOT(ISNUMBER(R321)),NOT(ISNUMBER(AK321)),R321&gt;=AK321)),"Ganador",IF(AJ321&lt;=Resumen!$C$6,"Perdedor","Normal")),IF(ISNUMBER(AH321),IF(AH321&gt;=Resumen!$C$5,"Ganador (7 d, provisional)",IF(AH321&lt;=Resumen!$C$6,"Perdedor (7 d, provisional)","Normal (7 d, provisional)")),""))</f>
        <v/>
      </c>
      <c r="AM321" s="18" t="str">
        <f aca="false">IF(AND(ISNUMBER(Z321),ISNUMBER(N321)),IF(N321&gt;0,Z321/N321*1000,""),"")</f>
        <v/>
      </c>
      <c r="AN321" s="19" t="str">
        <f aca="false">IF(AND(ISNUMBER(U321),ISNUMBER(N321)),IF(N321&gt;0,U321/N321*1000,""),"")</f>
        <v/>
      </c>
    </row>
    <row r="322" customFormat="false" ht="15" hidden="false" customHeight="false" outlineLevel="0" collapsed="false">
      <c r="A322" s="7"/>
      <c r="B322" s="7"/>
      <c r="C322" s="8"/>
      <c r="D322" s="7"/>
      <c r="E322" s="7"/>
      <c r="F322" s="7"/>
      <c r="G322" s="7"/>
      <c r="H322" s="7"/>
      <c r="I322" s="7"/>
      <c r="J322" s="7"/>
      <c r="K322" s="9"/>
      <c r="L322" s="10"/>
      <c r="M322" s="10"/>
      <c r="N322" s="10"/>
      <c r="O322" s="10"/>
      <c r="P322" s="11"/>
      <c r="Q322" s="9"/>
      <c r="R322" s="12" t="str">
        <f aca="false">IF(AND(ISNUMBER(K322),ISNUMBER(Q322),K322&gt;0),Q322/K322,"")</f>
        <v/>
      </c>
      <c r="S322" s="11"/>
      <c r="T322" s="9"/>
      <c r="U322" s="10"/>
      <c r="V322" s="11"/>
      <c r="W322" s="11"/>
      <c r="X322" s="11"/>
      <c r="Y322" s="12" t="str">
        <f aca="false">IF(COUNT(V322:X322)=0,"",MAX(0,1-SUM(V322:X322)))</f>
        <v/>
      </c>
      <c r="Z322" s="13"/>
      <c r="AA322" s="9"/>
      <c r="AB322" s="7"/>
      <c r="AC322" s="7"/>
      <c r="AD322" s="7"/>
      <c r="AE322" s="7"/>
      <c r="AF322" s="14" t="str">
        <f aca="false">IF(D322="","",COUNTIF($D$2:D322,D322))</f>
        <v/>
      </c>
      <c r="AG322" s="15" t="str">
        <f aca="false" t="array" ref="AG322:AG322">IF(D322="","",IFERROR(MEDIAN(IF(($D$2:$D$401=D322)*($AF$2:$AF$401&gt;=AF322-5)*($AF$2:$AF$401&lt;=AF322-1)*($M$2:$M$401&lt;&gt;""),$M$2:$M$401)),""))</f>
        <v/>
      </c>
      <c r="AH322" s="16" t="str">
        <f aca="false">IF(AND(ISNUMBER(M322),ISNUMBER(AG322)),IF(AG322&gt;0,M322/AG322,""),"")</f>
        <v/>
      </c>
      <c r="AI322" s="15" t="str">
        <f aca="false" t="array" ref="AI322:AI322">IF(D322="","",IFERROR(MEDIAN(IF(($D$2:$D$401=D322)*($AF$2:$AF$401&gt;=AF322-5)*($AF$2:$AF$401&lt;=AF322-1)*($N$2:$N$401&lt;&gt;""),$N$2:$N$401)),""))</f>
        <v/>
      </c>
      <c r="AJ322" s="16" t="str">
        <f aca="false">IF(AND(ISNUMBER(N322),ISNUMBER(AI322)),IF(AI322&gt;0,N322/AI322,""),"")</f>
        <v/>
      </c>
      <c r="AK322" s="12" t="str">
        <f aca="false" t="array" ref="AK322:AK322">IF(D322="","",IFERROR(MEDIAN(IF(($D$2:$D$401=D322)*ISNUMBER($R$2:$R$401),$R$2:$R$401)),""))</f>
        <v/>
      </c>
      <c r="AL322" s="17" t="str">
        <f aca="false">IF(ISNUMBER(AJ322),IF(AND(AJ322&gt;=Resumen!$C$5,OR(NOT(ISNUMBER(R322)),NOT(ISNUMBER(AK322)),R322&gt;=AK322)),"Ganador",IF(AJ322&lt;=Resumen!$C$6,"Perdedor","Normal")),IF(ISNUMBER(AH322),IF(AH322&gt;=Resumen!$C$5,"Ganador (7 d, provisional)",IF(AH322&lt;=Resumen!$C$6,"Perdedor (7 d, provisional)","Normal (7 d, provisional)")),""))</f>
        <v/>
      </c>
      <c r="AM322" s="18" t="str">
        <f aca="false">IF(AND(ISNUMBER(Z322),ISNUMBER(N322)),IF(N322&gt;0,Z322/N322*1000,""),"")</f>
        <v/>
      </c>
      <c r="AN322" s="19" t="str">
        <f aca="false">IF(AND(ISNUMBER(U322),ISNUMBER(N322)),IF(N322&gt;0,U322/N322*1000,""),"")</f>
        <v/>
      </c>
    </row>
    <row r="323" customFormat="false" ht="15" hidden="false" customHeight="false" outlineLevel="0" collapsed="false">
      <c r="A323" s="7"/>
      <c r="B323" s="7"/>
      <c r="C323" s="8"/>
      <c r="D323" s="7"/>
      <c r="E323" s="7"/>
      <c r="F323" s="7"/>
      <c r="G323" s="7"/>
      <c r="H323" s="7"/>
      <c r="I323" s="7"/>
      <c r="J323" s="7"/>
      <c r="K323" s="9"/>
      <c r="L323" s="10"/>
      <c r="M323" s="10"/>
      <c r="N323" s="10"/>
      <c r="O323" s="10"/>
      <c r="P323" s="11"/>
      <c r="Q323" s="9"/>
      <c r="R323" s="12" t="str">
        <f aca="false">IF(AND(ISNUMBER(K323),ISNUMBER(Q323),K323&gt;0),Q323/K323,"")</f>
        <v/>
      </c>
      <c r="S323" s="11"/>
      <c r="T323" s="9"/>
      <c r="U323" s="10"/>
      <c r="V323" s="11"/>
      <c r="W323" s="11"/>
      <c r="X323" s="11"/>
      <c r="Y323" s="12" t="str">
        <f aca="false">IF(COUNT(V323:X323)=0,"",MAX(0,1-SUM(V323:X323)))</f>
        <v/>
      </c>
      <c r="Z323" s="13"/>
      <c r="AA323" s="9"/>
      <c r="AB323" s="7"/>
      <c r="AC323" s="7"/>
      <c r="AD323" s="7"/>
      <c r="AE323" s="7"/>
      <c r="AF323" s="14" t="str">
        <f aca="false">IF(D323="","",COUNTIF($D$2:D323,D323))</f>
        <v/>
      </c>
      <c r="AG323" s="15" t="str">
        <f aca="false" t="array" ref="AG323:AG323">IF(D323="","",IFERROR(MEDIAN(IF(($D$2:$D$401=D323)*($AF$2:$AF$401&gt;=AF323-5)*($AF$2:$AF$401&lt;=AF323-1)*($M$2:$M$401&lt;&gt;""),$M$2:$M$401)),""))</f>
        <v/>
      </c>
      <c r="AH323" s="16" t="str">
        <f aca="false">IF(AND(ISNUMBER(M323),ISNUMBER(AG323)),IF(AG323&gt;0,M323/AG323,""),"")</f>
        <v/>
      </c>
      <c r="AI323" s="15" t="str">
        <f aca="false" t="array" ref="AI323:AI323">IF(D323="","",IFERROR(MEDIAN(IF(($D$2:$D$401=D323)*($AF$2:$AF$401&gt;=AF323-5)*($AF$2:$AF$401&lt;=AF323-1)*($N$2:$N$401&lt;&gt;""),$N$2:$N$401)),""))</f>
        <v/>
      </c>
      <c r="AJ323" s="16" t="str">
        <f aca="false">IF(AND(ISNUMBER(N323),ISNUMBER(AI323)),IF(AI323&gt;0,N323/AI323,""),"")</f>
        <v/>
      </c>
      <c r="AK323" s="12" t="str">
        <f aca="false" t="array" ref="AK323:AK323">IF(D323="","",IFERROR(MEDIAN(IF(($D$2:$D$401=D323)*ISNUMBER($R$2:$R$401),$R$2:$R$401)),""))</f>
        <v/>
      </c>
      <c r="AL323" s="17" t="str">
        <f aca="false">IF(ISNUMBER(AJ323),IF(AND(AJ323&gt;=Resumen!$C$5,OR(NOT(ISNUMBER(R323)),NOT(ISNUMBER(AK323)),R323&gt;=AK323)),"Ganador",IF(AJ323&lt;=Resumen!$C$6,"Perdedor","Normal")),IF(ISNUMBER(AH323),IF(AH323&gt;=Resumen!$C$5,"Ganador (7 d, provisional)",IF(AH323&lt;=Resumen!$C$6,"Perdedor (7 d, provisional)","Normal (7 d, provisional)")),""))</f>
        <v/>
      </c>
      <c r="AM323" s="18" t="str">
        <f aca="false">IF(AND(ISNUMBER(Z323),ISNUMBER(N323)),IF(N323&gt;0,Z323/N323*1000,""),"")</f>
        <v/>
      </c>
      <c r="AN323" s="19" t="str">
        <f aca="false">IF(AND(ISNUMBER(U323),ISNUMBER(N323)),IF(N323&gt;0,U323/N323*1000,""),"")</f>
        <v/>
      </c>
    </row>
    <row r="324" customFormat="false" ht="15" hidden="false" customHeight="false" outlineLevel="0" collapsed="false">
      <c r="A324" s="7"/>
      <c r="B324" s="7"/>
      <c r="C324" s="8"/>
      <c r="D324" s="7"/>
      <c r="E324" s="7"/>
      <c r="F324" s="7"/>
      <c r="G324" s="7"/>
      <c r="H324" s="7"/>
      <c r="I324" s="7"/>
      <c r="J324" s="7"/>
      <c r="K324" s="9"/>
      <c r="L324" s="10"/>
      <c r="M324" s="10"/>
      <c r="N324" s="10"/>
      <c r="O324" s="10"/>
      <c r="P324" s="11"/>
      <c r="Q324" s="9"/>
      <c r="R324" s="12" t="str">
        <f aca="false">IF(AND(ISNUMBER(K324),ISNUMBER(Q324),K324&gt;0),Q324/K324,"")</f>
        <v/>
      </c>
      <c r="S324" s="11"/>
      <c r="T324" s="9"/>
      <c r="U324" s="10"/>
      <c r="V324" s="11"/>
      <c r="W324" s="11"/>
      <c r="X324" s="11"/>
      <c r="Y324" s="12" t="str">
        <f aca="false">IF(COUNT(V324:X324)=0,"",MAX(0,1-SUM(V324:X324)))</f>
        <v/>
      </c>
      <c r="Z324" s="13"/>
      <c r="AA324" s="9"/>
      <c r="AB324" s="7"/>
      <c r="AC324" s="7"/>
      <c r="AD324" s="7"/>
      <c r="AE324" s="7"/>
      <c r="AF324" s="14" t="str">
        <f aca="false">IF(D324="","",COUNTIF($D$2:D324,D324))</f>
        <v/>
      </c>
      <c r="AG324" s="15" t="str">
        <f aca="false" t="array" ref="AG324:AG324">IF(D324="","",IFERROR(MEDIAN(IF(($D$2:$D$401=D324)*($AF$2:$AF$401&gt;=AF324-5)*($AF$2:$AF$401&lt;=AF324-1)*($M$2:$M$401&lt;&gt;""),$M$2:$M$401)),""))</f>
        <v/>
      </c>
      <c r="AH324" s="16" t="str">
        <f aca="false">IF(AND(ISNUMBER(M324),ISNUMBER(AG324)),IF(AG324&gt;0,M324/AG324,""),"")</f>
        <v/>
      </c>
      <c r="AI324" s="15" t="str">
        <f aca="false" t="array" ref="AI324:AI324">IF(D324="","",IFERROR(MEDIAN(IF(($D$2:$D$401=D324)*($AF$2:$AF$401&gt;=AF324-5)*($AF$2:$AF$401&lt;=AF324-1)*($N$2:$N$401&lt;&gt;""),$N$2:$N$401)),""))</f>
        <v/>
      </c>
      <c r="AJ324" s="16" t="str">
        <f aca="false">IF(AND(ISNUMBER(N324),ISNUMBER(AI324)),IF(AI324&gt;0,N324/AI324,""),"")</f>
        <v/>
      </c>
      <c r="AK324" s="12" t="str">
        <f aca="false" t="array" ref="AK324:AK324">IF(D324="","",IFERROR(MEDIAN(IF(($D$2:$D$401=D324)*ISNUMBER($R$2:$R$401),$R$2:$R$401)),""))</f>
        <v/>
      </c>
      <c r="AL324" s="17" t="str">
        <f aca="false">IF(ISNUMBER(AJ324),IF(AND(AJ324&gt;=Resumen!$C$5,OR(NOT(ISNUMBER(R324)),NOT(ISNUMBER(AK324)),R324&gt;=AK324)),"Ganador",IF(AJ324&lt;=Resumen!$C$6,"Perdedor","Normal")),IF(ISNUMBER(AH324),IF(AH324&gt;=Resumen!$C$5,"Ganador (7 d, provisional)",IF(AH324&lt;=Resumen!$C$6,"Perdedor (7 d, provisional)","Normal (7 d, provisional)")),""))</f>
        <v/>
      </c>
      <c r="AM324" s="18" t="str">
        <f aca="false">IF(AND(ISNUMBER(Z324),ISNUMBER(N324)),IF(N324&gt;0,Z324/N324*1000,""),"")</f>
        <v/>
      </c>
      <c r="AN324" s="19" t="str">
        <f aca="false">IF(AND(ISNUMBER(U324),ISNUMBER(N324)),IF(N324&gt;0,U324/N324*1000,""),"")</f>
        <v/>
      </c>
    </row>
    <row r="325" customFormat="false" ht="15" hidden="false" customHeight="false" outlineLevel="0" collapsed="false">
      <c r="A325" s="7"/>
      <c r="B325" s="7"/>
      <c r="C325" s="8"/>
      <c r="D325" s="7"/>
      <c r="E325" s="7"/>
      <c r="F325" s="7"/>
      <c r="G325" s="7"/>
      <c r="H325" s="7"/>
      <c r="I325" s="7"/>
      <c r="J325" s="7"/>
      <c r="K325" s="9"/>
      <c r="L325" s="10"/>
      <c r="M325" s="10"/>
      <c r="N325" s="10"/>
      <c r="O325" s="10"/>
      <c r="P325" s="11"/>
      <c r="Q325" s="9"/>
      <c r="R325" s="12" t="str">
        <f aca="false">IF(AND(ISNUMBER(K325),ISNUMBER(Q325),K325&gt;0),Q325/K325,"")</f>
        <v/>
      </c>
      <c r="S325" s="11"/>
      <c r="T325" s="9"/>
      <c r="U325" s="10"/>
      <c r="V325" s="11"/>
      <c r="W325" s="11"/>
      <c r="X325" s="11"/>
      <c r="Y325" s="12" t="str">
        <f aca="false">IF(COUNT(V325:X325)=0,"",MAX(0,1-SUM(V325:X325)))</f>
        <v/>
      </c>
      <c r="Z325" s="13"/>
      <c r="AA325" s="9"/>
      <c r="AB325" s="7"/>
      <c r="AC325" s="7"/>
      <c r="AD325" s="7"/>
      <c r="AE325" s="7"/>
      <c r="AF325" s="14" t="str">
        <f aca="false">IF(D325="","",COUNTIF($D$2:D325,D325))</f>
        <v/>
      </c>
      <c r="AG325" s="15" t="str">
        <f aca="false" t="array" ref="AG325:AG325">IF(D325="","",IFERROR(MEDIAN(IF(($D$2:$D$401=D325)*($AF$2:$AF$401&gt;=AF325-5)*($AF$2:$AF$401&lt;=AF325-1)*($M$2:$M$401&lt;&gt;""),$M$2:$M$401)),""))</f>
        <v/>
      </c>
      <c r="AH325" s="16" t="str">
        <f aca="false">IF(AND(ISNUMBER(M325),ISNUMBER(AG325)),IF(AG325&gt;0,M325/AG325,""),"")</f>
        <v/>
      </c>
      <c r="AI325" s="15" t="str">
        <f aca="false" t="array" ref="AI325:AI325">IF(D325="","",IFERROR(MEDIAN(IF(($D$2:$D$401=D325)*($AF$2:$AF$401&gt;=AF325-5)*($AF$2:$AF$401&lt;=AF325-1)*($N$2:$N$401&lt;&gt;""),$N$2:$N$401)),""))</f>
        <v/>
      </c>
      <c r="AJ325" s="16" t="str">
        <f aca="false">IF(AND(ISNUMBER(N325),ISNUMBER(AI325)),IF(AI325&gt;0,N325/AI325,""),"")</f>
        <v/>
      </c>
      <c r="AK325" s="12" t="str">
        <f aca="false" t="array" ref="AK325:AK325">IF(D325="","",IFERROR(MEDIAN(IF(($D$2:$D$401=D325)*ISNUMBER($R$2:$R$401),$R$2:$R$401)),""))</f>
        <v/>
      </c>
      <c r="AL325" s="17" t="str">
        <f aca="false">IF(ISNUMBER(AJ325),IF(AND(AJ325&gt;=Resumen!$C$5,OR(NOT(ISNUMBER(R325)),NOT(ISNUMBER(AK325)),R325&gt;=AK325)),"Ganador",IF(AJ325&lt;=Resumen!$C$6,"Perdedor","Normal")),IF(ISNUMBER(AH325),IF(AH325&gt;=Resumen!$C$5,"Ganador (7 d, provisional)",IF(AH325&lt;=Resumen!$C$6,"Perdedor (7 d, provisional)","Normal (7 d, provisional)")),""))</f>
        <v/>
      </c>
      <c r="AM325" s="18" t="str">
        <f aca="false">IF(AND(ISNUMBER(Z325),ISNUMBER(N325)),IF(N325&gt;0,Z325/N325*1000,""),"")</f>
        <v/>
      </c>
      <c r="AN325" s="19" t="str">
        <f aca="false">IF(AND(ISNUMBER(U325),ISNUMBER(N325)),IF(N325&gt;0,U325/N325*1000,""),"")</f>
        <v/>
      </c>
    </row>
    <row r="326" customFormat="false" ht="15" hidden="false" customHeight="false" outlineLevel="0" collapsed="false">
      <c r="A326" s="7"/>
      <c r="B326" s="7"/>
      <c r="C326" s="8"/>
      <c r="D326" s="7"/>
      <c r="E326" s="7"/>
      <c r="F326" s="7"/>
      <c r="G326" s="7"/>
      <c r="H326" s="7"/>
      <c r="I326" s="7"/>
      <c r="J326" s="7"/>
      <c r="K326" s="9"/>
      <c r="L326" s="10"/>
      <c r="M326" s="10"/>
      <c r="N326" s="10"/>
      <c r="O326" s="10"/>
      <c r="P326" s="11"/>
      <c r="Q326" s="9"/>
      <c r="R326" s="12" t="str">
        <f aca="false">IF(AND(ISNUMBER(K326),ISNUMBER(Q326),K326&gt;0),Q326/K326,"")</f>
        <v/>
      </c>
      <c r="S326" s="11"/>
      <c r="T326" s="9"/>
      <c r="U326" s="10"/>
      <c r="V326" s="11"/>
      <c r="W326" s="11"/>
      <c r="X326" s="11"/>
      <c r="Y326" s="12" t="str">
        <f aca="false">IF(COUNT(V326:X326)=0,"",MAX(0,1-SUM(V326:X326)))</f>
        <v/>
      </c>
      <c r="Z326" s="13"/>
      <c r="AA326" s="9"/>
      <c r="AB326" s="7"/>
      <c r="AC326" s="7"/>
      <c r="AD326" s="7"/>
      <c r="AE326" s="7"/>
      <c r="AF326" s="14" t="str">
        <f aca="false">IF(D326="","",COUNTIF($D$2:D326,D326))</f>
        <v/>
      </c>
      <c r="AG326" s="15" t="str">
        <f aca="false" t="array" ref="AG326:AG326">IF(D326="","",IFERROR(MEDIAN(IF(($D$2:$D$401=D326)*($AF$2:$AF$401&gt;=AF326-5)*($AF$2:$AF$401&lt;=AF326-1)*($M$2:$M$401&lt;&gt;""),$M$2:$M$401)),""))</f>
        <v/>
      </c>
      <c r="AH326" s="16" t="str">
        <f aca="false">IF(AND(ISNUMBER(M326),ISNUMBER(AG326)),IF(AG326&gt;0,M326/AG326,""),"")</f>
        <v/>
      </c>
      <c r="AI326" s="15" t="str">
        <f aca="false" t="array" ref="AI326:AI326">IF(D326="","",IFERROR(MEDIAN(IF(($D$2:$D$401=D326)*($AF$2:$AF$401&gt;=AF326-5)*($AF$2:$AF$401&lt;=AF326-1)*($N$2:$N$401&lt;&gt;""),$N$2:$N$401)),""))</f>
        <v/>
      </c>
      <c r="AJ326" s="16" t="str">
        <f aca="false">IF(AND(ISNUMBER(N326),ISNUMBER(AI326)),IF(AI326&gt;0,N326/AI326,""),"")</f>
        <v/>
      </c>
      <c r="AK326" s="12" t="str">
        <f aca="false" t="array" ref="AK326:AK326">IF(D326="","",IFERROR(MEDIAN(IF(($D$2:$D$401=D326)*ISNUMBER($R$2:$R$401),$R$2:$R$401)),""))</f>
        <v/>
      </c>
      <c r="AL326" s="17" t="str">
        <f aca="false">IF(ISNUMBER(AJ326),IF(AND(AJ326&gt;=Resumen!$C$5,OR(NOT(ISNUMBER(R326)),NOT(ISNUMBER(AK326)),R326&gt;=AK326)),"Ganador",IF(AJ326&lt;=Resumen!$C$6,"Perdedor","Normal")),IF(ISNUMBER(AH326),IF(AH326&gt;=Resumen!$C$5,"Ganador (7 d, provisional)",IF(AH326&lt;=Resumen!$C$6,"Perdedor (7 d, provisional)","Normal (7 d, provisional)")),""))</f>
        <v/>
      </c>
      <c r="AM326" s="18" t="str">
        <f aca="false">IF(AND(ISNUMBER(Z326),ISNUMBER(N326)),IF(N326&gt;0,Z326/N326*1000,""),"")</f>
        <v/>
      </c>
      <c r="AN326" s="19" t="str">
        <f aca="false">IF(AND(ISNUMBER(U326),ISNUMBER(N326)),IF(N326&gt;0,U326/N326*1000,""),"")</f>
        <v/>
      </c>
    </row>
    <row r="327" customFormat="false" ht="15" hidden="false" customHeight="false" outlineLevel="0" collapsed="false">
      <c r="A327" s="7"/>
      <c r="B327" s="7"/>
      <c r="C327" s="8"/>
      <c r="D327" s="7"/>
      <c r="E327" s="7"/>
      <c r="F327" s="7"/>
      <c r="G327" s="7"/>
      <c r="H327" s="7"/>
      <c r="I327" s="7"/>
      <c r="J327" s="7"/>
      <c r="K327" s="9"/>
      <c r="L327" s="10"/>
      <c r="M327" s="10"/>
      <c r="N327" s="10"/>
      <c r="O327" s="10"/>
      <c r="P327" s="11"/>
      <c r="Q327" s="9"/>
      <c r="R327" s="12" t="str">
        <f aca="false">IF(AND(ISNUMBER(K327),ISNUMBER(Q327),K327&gt;0),Q327/K327,"")</f>
        <v/>
      </c>
      <c r="S327" s="11"/>
      <c r="T327" s="9"/>
      <c r="U327" s="10"/>
      <c r="V327" s="11"/>
      <c r="W327" s="11"/>
      <c r="X327" s="11"/>
      <c r="Y327" s="12" t="str">
        <f aca="false">IF(COUNT(V327:X327)=0,"",MAX(0,1-SUM(V327:X327)))</f>
        <v/>
      </c>
      <c r="Z327" s="13"/>
      <c r="AA327" s="9"/>
      <c r="AB327" s="7"/>
      <c r="AC327" s="7"/>
      <c r="AD327" s="7"/>
      <c r="AE327" s="7"/>
      <c r="AF327" s="14" t="str">
        <f aca="false">IF(D327="","",COUNTIF($D$2:D327,D327))</f>
        <v/>
      </c>
      <c r="AG327" s="15" t="str">
        <f aca="false" t="array" ref="AG327:AG327">IF(D327="","",IFERROR(MEDIAN(IF(($D$2:$D$401=D327)*($AF$2:$AF$401&gt;=AF327-5)*($AF$2:$AF$401&lt;=AF327-1)*($M$2:$M$401&lt;&gt;""),$M$2:$M$401)),""))</f>
        <v/>
      </c>
      <c r="AH327" s="16" t="str">
        <f aca="false">IF(AND(ISNUMBER(M327),ISNUMBER(AG327)),IF(AG327&gt;0,M327/AG327,""),"")</f>
        <v/>
      </c>
      <c r="AI327" s="15" t="str">
        <f aca="false" t="array" ref="AI327:AI327">IF(D327="","",IFERROR(MEDIAN(IF(($D$2:$D$401=D327)*($AF$2:$AF$401&gt;=AF327-5)*($AF$2:$AF$401&lt;=AF327-1)*($N$2:$N$401&lt;&gt;""),$N$2:$N$401)),""))</f>
        <v/>
      </c>
      <c r="AJ327" s="16" t="str">
        <f aca="false">IF(AND(ISNUMBER(N327),ISNUMBER(AI327)),IF(AI327&gt;0,N327/AI327,""),"")</f>
        <v/>
      </c>
      <c r="AK327" s="12" t="str">
        <f aca="false" t="array" ref="AK327:AK327">IF(D327="","",IFERROR(MEDIAN(IF(($D$2:$D$401=D327)*ISNUMBER($R$2:$R$401),$R$2:$R$401)),""))</f>
        <v/>
      </c>
      <c r="AL327" s="17" t="str">
        <f aca="false">IF(ISNUMBER(AJ327),IF(AND(AJ327&gt;=Resumen!$C$5,OR(NOT(ISNUMBER(R327)),NOT(ISNUMBER(AK327)),R327&gt;=AK327)),"Ganador",IF(AJ327&lt;=Resumen!$C$6,"Perdedor","Normal")),IF(ISNUMBER(AH327),IF(AH327&gt;=Resumen!$C$5,"Ganador (7 d, provisional)",IF(AH327&lt;=Resumen!$C$6,"Perdedor (7 d, provisional)","Normal (7 d, provisional)")),""))</f>
        <v/>
      </c>
      <c r="AM327" s="18" t="str">
        <f aca="false">IF(AND(ISNUMBER(Z327),ISNUMBER(N327)),IF(N327&gt;0,Z327/N327*1000,""),"")</f>
        <v/>
      </c>
      <c r="AN327" s="19" t="str">
        <f aca="false">IF(AND(ISNUMBER(U327),ISNUMBER(N327)),IF(N327&gt;0,U327/N327*1000,""),"")</f>
        <v/>
      </c>
    </row>
    <row r="328" customFormat="false" ht="15" hidden="false" customHeight="false" outlineLevel="0" collapsed="false">
      <c r="A328" s="7"/>
      <c r="B328" s="7"/>
      <c r="C328" s="8"/>
      <c r="D328" s="7"/>
      <c r="E328" s="7"/>
      <c r="F328" s="7"/>
      <c r="G328" s="7"/>
      <c r="H328" s="7"/>
      <c r="I328" s="7"/>
      <c r="J328" s="7"/>
      <c r="K328" s="9"/>
      <c r="L328" s="10"/>
      <c r="M328" s="10"/>
      <c r="N328" s="10"/>
      <c r="O328" s="10"/>
      <c r="P328" s="11"/>
      <c r="Q328" s="9"/>
      <c r="R328" s="12" t="str">
        <f aca="false">IF(AND(ISNUMBER(K328),ISNUMBER(Q328),K328&gt;0),Q328/K328,"")</f>
        <v/>
      </c>
      <c r="S328" s="11"/>
      <c r="T328" s="9"/>
      <c r="U328" s="10"/>
      <c r="V328" s="11"/>
      <c r="W328" s="11"/>
      <c r="X328" s="11"/>
      <c r="Y328" s="12" t="str">
        <f aca="false">IF(COUNT(V328:X328)=0,"",MAX(0,1-SUM(V328:X328)))</f>
        <v/>
      </c>
      <c r="Z328" s="13"/>
      <c r="AA328" s="9"/>
      <c r="AB328" s="7"/>
      <c r="AC328" s="7"/>
      <c r="AD328" s="7"/>
      <c r="AE328" s="7"/>
      <c r="AF328" s="14" t="str">
        <f aca="false">IF(D328="","",COUNTIF($D$2:D328,D328))</f>
        <v/>
      </c>
      <c r="AG328" s="15" t="str">
        <f aca="false" t="array" ref="AG328:AG328">IF(D328="","",IFERROR(MEDIAN(IF(($D$2:$D$401=D328)*($AF$2:$AF$401&gt;=AF328-5)*($AF$2:$AF$401&lt;=AF328-1)*($M$2:$M$401&lt;&gt;""),$M$2:$M$401)),""))</f>
        <v/>
      </c>
      <c r="AH328" s="16" t="str">
        <f aca="false">IF(AND(ISNUMBER(M328),ISNUMBER(AG328)),IF(AG328&gt;0,M328/AG328,""),"")</f>
        <v/>
      </c>
      <c r="AI328" s="15" t="str">
        <f aca="false" t="array" ref="AI328:AI328">IF(D328="","",IFERROR(MEDIAN(IF(($D$2:$D$401=D328)*($AF$2:$AF$401&gt;=AF328-5)*($AF$2:$AF$401&lt;=AF328-1)*($N$2:$N$401&lt;&gt;""),$N$2:$N$401)),""))</f>
        <v/>
      </c>
      <c r="AJ328" s="16" t="str">
        <f aca="false">IF(AND(ISNUMBER(N328),ISNUMBER(AI328)),IF(AI328&gt;0,N328/AI328,""),"")</f>
        <v/>
      </c>
      <c r="AK328" s="12" t="str">
        <f aca="false" t="array" ref="AK328:AK328">IF(D328="","",IFERROR(MEDIAN(IF(($D$2:$D$401=D328)*ISNUMBER($R$2:$R$401),$R$2:$R$401)),""))</f>
        <v/>
      </c>
      <c r="AL328" s="17" t="str">
        <f aca="false">IF(ISNUMBER(AJ328),IF(AND(AJ328&gt;=Resumen!$C$5,OR(NOT(ISNUMBER(R328)),NOT(ISNUMBER(AK328)),R328&gt;=AK328)),"Ganador",IF(AJ328&lt;=Resumen!$C$6,"Perdedor","Normal")),IF(ISNUMBER(AH328),IF(AH328&gt;=Resumen!$C$5,"Ganador (7 d, provisional)",IF(AH328&lt;=Resumen!$C$6,"Perdedor (7 d, provisional)","Normal (7 d, provisional)")),""))</f>
        <v/>
      </c>
      <c r="AM328" s="18" t="str">
        <f aca="false">IF(AND(ISNUMBER(Z328),ISNUMBER(N328)),IF(N328&gt;0,Z328/N328*1000,""),"")</f>
        <v/>
      </c>
      <c r="AN328" s="19" t="str">
        <f aca="false">IF(AND(ISNUMBER(U328),ISNUMBER(N328)),IF(N328&gt;0,U328/N328*1000,""),"")</f>
        <v/>
      </c>
    </row>
    <row r="329" customFormat="false" ht="15" hidden="false" customHeight="false" outlineLevel="0" collapsed="false">
      <c r="A329" s="7"/>
      <c r="B329" s="7"/>
      <c r="C329" s="8"/>
      <c r="D329" s="7"/>
      <c r="E329" s="7"/>
      <c r="F329" s="7"/>
      <c r="G329" s="7"/>
      <c r="H329" s="7"/>
      <c r="I329" s="7"/>
      <c r="J329" s="7"/>
      <c r="K329" s="9"/>
      <c r="L329" s="10"/>
      <c r="M329" s="10"/>
      <c r="N329" s="10"/>
      <c r="O329" s="10"/>
      <c r="P329" s="11"/>
      <c r="Q329" s="9"/>
      <c r="R329" s="12" t="str">
        <f aca="false">IF(AND(ISNUMBER(K329),ISNUMBER(Q329),K329&gt;0),Q329/K329,"")</f>
        <v/>
      </c>
      <c r="S329" s="11"/>
      <c r="T329" s="9"/>
      <c r="U329" s="10"/>
      <c r="V329" s="11"/>
      <c r="W329" s="11"/>
      <c r="X329" s="11"/>
      <c r="Y329" s="12" t="str">
        <f aca="false">IF(COUNT(V329:X329)=0,"",MAX(0,1-SUM(V329:X329)))</f>
        <v/>
      </c>
      <c r="Z329" s="13"/>
      <c r="AA329" s="9"/>
      <c r="AB329" s="7"/>
      <c r="AC329" s="7"/>
      <c r="AD329" s="7"/>
      <c r="AE329" s="7"/>
      <c r="AF329" s="14" t="str">
        <f aca="false">IF(D329="","",COUNTIF($D$2:D329,D329))</f>
        <v/>
      </c>
      <c r="AG329" s="15" t="str">
        <f aca="false" t="array" ref="AG329:AG329">IF(D329="","",IFERROR(MEDIAN(IF(($D$2:$D$401=D329)*($AF$2:$AF$401&gt;=AF329-5)*($AF$2:$AF$401&lt;=AF329-1)*($M$2:$M$401&lt;&gt;""),$M$2:$M$401)),""))</f>
        <v/>
      </c>
      <c r="AH329" s="16" t="str">
        <f aca="false">IF(AND(ISNUMBER(M329),ISNUMBER(AG329)),IF(AG329&gt;0,M329/AG329,""),"")</f>
        <v/>
      </c>
      <c r="AI329" s="15" t="str">
        <f aca="false" t="array" ref="AI329:AI329">IF(D329="","",IFERROR(MEDIAN(IF(($D$2:$D$401=D329)*($AF$2:$AF$401&gt;=AF329-5)*($AF$2:$AF$401&lt;=AF329-1)*($N$2:$N$401&lt;&gt;""),$N$2:$N$401)),""))</f>
        <v/>
      </c>
      <c r="AJ329" s="16" t="str">
        <f aca="false">IF(AND(ISNUMBER(N329),ISNUMBER(AI329)),IF(AI329&gt;0,N329/AI329,""),"")</f>
        <v/>
      </c>
      <c r="AK329" s="12" t="str">
        <f aca="false" t="array" ref="AK329:AK329">IF(D329="","",IFERROR(MEDIAN(IF(($D$2:$D$401=D329)*ISNUMBER($R$2:$R$401),$R$2:$R$401)),""))</f>
        <v/>
      </c>
      <c r="AL329" s="17" t="str">
        <f aca="false">IF(ISNUMBER(AJ329),IF(AND(AJ329&gt;=Resumen!$C$5,OR(NOT(ISNUMBER(R329)),NOT(ISNUMBER(AK329)),R329&gt;=AK329)),"Ganador",IF(AJ329&lt;=Resumen!$C$6,"Perdedor","Normal")),IF(ISNUMBER(AH329),IF(AH329&gt;=Resumen!$C$5,"Ganador (7 d, provisional)",IF(AH329&lt;=Resumen!$C$6,"Perdedor (7 d, provisional)","Normal (7 d, provisional)")),""))</f>
        <v/>
      </c>
      <c r="AM329" s="18" t="str">
        <f aca="false">IF(AND(ISNUMBER(Z329),ISNUMBER(N329)),IF(N329&gt;0,Z329/N329*1000,""),"")</f>
        <v/>
      </c>
      <c r="AN329" s="19" t="str">
        <f aca="false">IF(AND(ISNUMBER(U329),ISNUMBER(N329)),IF(N329&gt;0,U329/N329*1000,""),"")</f>
        <v/>
      </c>
    </row>
    <row r="330" customFormat="false" ht="15" hidden="false" customHeight="false" outlineLevel="0" collapsed="false">
      <c r="A330" s="7"/>
      <c r="B330" s="7"/>
      <c r="C330" s="8"/>
      <c r="D330" s="7"/>
      <c r="E330" s="7"/>
      <c r="F330" s="7"/>
      <c r="G330" s="7"/>
      <c r="H330" s="7"/>
      <c r="I330" s="7"/>
      <c r="J330" s="7"/>
      <c r="K330" s="9"/>
      <c r="L330" s="10"/>
      <c r="M330" s="10"/>
      <c r="N330" s="10"/>
      <c r="O330" s="10"/>
      <c r="P330" s="11"/>
      <c r="Q330" s="9"/>
      <c r="R330" s="12" t="str">
        <f aca="false">IF(AND(ISNUMBER(K330),ISNUMBER(Q330),K330&gt;0),Q330/K330,"")</f>
        <v/>
      </c>
      <c r="S330" s="11"/>
      <c r="T330" s="9"/>
      <c r="U330" s="10"/>
      <c r="V330" s="11"/>
      <c r="W330" s="11"/>
      <c r="X330" s="11"/>
      <c r="Y330" s="12" t="str">
        <f aca="false">IF(COUNT(V330:X330)=0,"",MAX(0,1-SUM(V330:X330)))</f>
        <v/>
      </c>
      <c r="Z330" s="13"/>
      <c r="AA330" s="9"/>
      <c r="AB330" s="7"/>
      <c r="AC330" s="7"/>
      <c r="AD330" s="7"/>
      <c r="AE330" s="7"/>
      <c r="AF330" s="14" t="str">
        <f aca="false">IF(D330="","",COUNTIF($D$2:D330,D330))</f>
        <v/>
      </c>
      <c r="AG330" s="15" t="str">
        <f aca="false" t="array" ref="AG330:AG330">IF(D330="","",IFERROR(MEDIAN(IF(($D$2:$D$401=D330)*($AF$2:$AF$401&gt;=AF330-5)*($AF$2:$AF$401&lt;=AF330-1)*($M$2:$M$401&lt;&gt;""),$M$2:$M$401)),""))</f>
        <v/>
      </c>
      <c r="AH330" s="16" t="str">
        <f aca="false">IF(AND(ISNUMBER(M330),ISNUMBER(AG330)),IF(AG330&gt;0,M330/AG330,""),"")</f>
        <v/>
      </c>
      <c r="AI330" s="15" t="str">
        <f aca="false" t="array" ref="AI330:AI330">IF(D330="","",IFERROR(MEDIAN(IF(($D$2:$D$401=D330)*($AF$2:$AF$401&gt;=AF330-5)*($AF$2:$AF$401&lt;=AF330-1)*($N$2:$N$401&lt;&gt;""),$N$2:$N$401)),""))</f>
        <v/>
      </c>
      <c r="AJ330" s="16" t="str">
        <f aca="false">IF(AND(ISNUMBER(N330),ISNUMBER(AI330)),IF(AI330&gt;0,N330/AI330,""),"")</f>
        <v/>
      </c>
      <c r="AK330" s="12" t="str">
        <f aca="false" t="array" ref="AK330:AK330">IF(D330="","",IFERROR(MEDIAN(IF(($D$2:$D$401=D330)*ISNUMBER($R$2:$R$401),$R$2:$R$401)),""))</f>
        <v/>
      </c>
      <c r="AL330" s="17" t="str">
        <f aca="false">IF(ISNUMBER(AJ330),IF(AND(AJ330&gt;=Resumen!$C$5,OR(NOT(ISNUMBER(R330)),NOT(ISNUMBER(AK330)),R330&gt;=AK330)),"Ganador",IF(AJ330&lt;=Resumen!$C$6,"Perdedor","Normal")),IF(ISNUMBER(AH330),IF(AH330&gt;=Resumen!$C$5,"Ganador (7 d, provisional)",IF(AH330&lt;=Resumen!$C$6,"Perdedor (7 d, provisional)","Normal (7 d, provisional)")),""))</f>
        <v/>
      </c>
      <c r="AM330" s="18" t="str">
        <f aca="false">IF(AND(ISNUMBER(Z330),ISNUMBER(N330)),IF(N330&gt;0,Z330/N330*1000,""),"")</f>
        <v/>
      </c>
      <c r="AN330" s="19" t="str">
        <f aca="false">IF(AND(ISNUMBER(U330),ISNUMBER(N330)),IF(N330&gt;0,U330/N330*1000,""),"")</f>
        <v/>
      </c>
    </row>
    <row r="331" customFormat="false" ht="15" hidden="false" customHeight="false" outlineLevel="0" collapsed="false">
      <c r="A331" s="7"/>
      <c r="B331" s="7"/>
      <c r="C331" s="8"/>
      <c r="D331" s="7"/>
      <c r="E331" s="7"/>
      <c r="F331" s="7"/>
      <c r="G331" s="7"/>
      <c r="H331" s="7"/>
      <c r="I331" s="7"/>
      <c r="J331" s="7"/>
      <c r="K331" s="9"/>
      <c r="L331" s="10"/>
      <c r="M331" s="10"/>
      <c r="N331" s="10"/>
      <c r="O331" s="10"/>
      <c r="P331" s="11"/>
      <c r="Q331" s="9"/>
      <c r="R331" s="12" t="str">
        <f aca="false">IF(AND(ISNUMBER(K331),ISNUMBER(Q331),K331&gt;0),Q331/K331,"")</f>
        <v/>
      </c>
      <c r="S331" s="11"/>
      <c r="T331" s="9"/>
      <c r="U331" s="10"/>
      <c r="V331" s="11"/>
      <c r="W331" s="11"/>
      <c r="X331" s="11"/>
      <c r="Y331" s="12" t="str">
        <f aca="false">IF(COUNT(V331:X331)=0,"",MAX(0,1-SUM(V331:X331)))</f>
        <v/>
      </c>
      <c r="Z331" s="13"/>
      <c r="AA331" s="9"/>
      <c r="AB331" s="7"/>
      <c r="AC331" s="7"/>
      <c r="AD331" s="7"/>
      <c r="AE331" s="7"/>
      <c r="AF331" s="14" t="str">
        <f aca="false">IF(D331="","",COUNTIF($D$2:D331,D331))</f>
        <v/>
      </c>
      <c r="AG331" s="15" t="str">
        <f aca="false" t="array" ref="AG331:AG331">IF(D331="","",IFERROR(MEDIAN(IF(($D$2:$D$401=D331)*($AF$2:$AF$401&gt;=AF331-5)*($AF$2:$AF$401&lt;=AF331-1)*($M$2:$M$401&lt;&gt;""),$M$2:$M$401)),""))</f>
        <v/>
      </c>
      <c r="AH331" s="16" t="str">
        <f aca="false">IF(AND(ISNUMBER(M331),ISNUMBER(AG331)),IF(AG331&gt;0,M331/AG331,""),"")</f>
        <v/>
      </c>
      <c r="AI331" s="15" t="str">
        <f aca="false" t="array" ref="AI331:AI331">IF(D331="","",IFERROR(MEDIAN(IF(($D$2:$D$401=D331)*($AF$2:$AF$401&gt;=AF331-5)*($AF$2:$AF$401&lt;=AF331-1)*($N$2:$N$401&lt;&gt;""),$N$2:$N$401)),""))</f>
        <v/>
      </c>
      <c r="AJ331" s="16" t="str">
        <f aca="false">IF(AND(ISNUMBER(N331),ISNUMBER(AI331)),IF(AI331&gt;0,N331/AI331,""),"")</f>
        <v/>
      </c>
      <c r="AK331" s="12" t="str">
        <f aca="false" t="array" ref="AK331:AK331">IF(D331="","",IFERROR(MEDIAN(IF(($D$2:$D$401=D331)*ISNUMBER($R$2:$R$401),$R$2:$R$401)),""))</f>
        <v/>
      </c>
      <c r="AL331" s="17" t="str">
        <f aca="false">IF(ISNUMBER(AJ331),IF(AND(AJ331&gt;=Resumen!$C$5,OR(NOT(ISNUMBER(R331)),NOT(ISNUMBER(AK331)),R331&gt;=AK331)),"Ganador",IF(AJ331&lt;=Resumen!$C$6,"Perdedor","Normal")),IF(ISNUMBER(AH331),IF(AH331&gt;=Resumen!$C$5,"Ganador (7 d, provisional)",IF(AH331&lt;=Resumen!$C$6,"Perdedor (7 d, provisional)","Normal (7 d, provisional)")),""))</f>
        <v/>
      </c>
      <c r="AM331" s="18" t="str">
        <f aca="false">IF(AND(ISNUMBER(Z331),ISNUMBER(N331)),IF(N331&gt;0,Z331/N331*1000,""),"")</f>
        <v/>
      </c>
      <c r="AN331" s="19" t="str">
        <f aca="false">IF(AND(ISNUMBER(U331),ISNUMBER(N331)),IF(N331&gt;0,U331/N331*1000,""),"")</f>
        <v/>
      </c>
    </row>
    <row r="332" customFormat="false" ht="15" hidden="false" customHeight="false" outlineLevel="0" collapsed="false">
      <c r="A332" s="7"/>
      <c r="B332" s="7"/>
      <c r="C332" s="8"/>
      <c r="D332" s="7"/>
      <c r="E332" s="7"/>
      <c r="F332" s="7"/>
      <c r="G332" s="7"/>
      <c r="H332" s="7"/>
      <c r="I332" s="7"/>
      <c r="J332" s="7"/>
      <c r="K332" s="9"/>
      <c r="L332" s="10"/>
      <c r="M332" s="10"/>
      <c r="N332" s="10"/>
      <c r="O332" s="10"/>
      <c r="P332" s="11"/>
      <c r="Q332" s="9"/>
      <c r="R332" s="12" t="str">
        <f aca="false">IF(AND(ISNUMBER(K332),ISNUMBER(Q332),K332&gt;0),Q332/K332,"")</f>
        <v/>
      </c>
      <c r="S332" s="11"/>
      <c r="T332" s="9"/>
      <c r="U332" s="10"/>
      <c r="V332" s="11"/>
      <c r="W332" s="11"/>
      <c r="X332" s="11"/>
      <c r="Y332" s="12" t="str">
        <f aca="false">IF(COUNT(V332:X332)=0,"",MAX(0,1-SUM(V332:X332)))</f>
        <v/>
      </c>
      <c r="Z332" s="13"/>
      <c r="AA332" s="9"/>
      <c r="AB332" s="7"/>
      <c r="AC332" s="7"/>
      <c r="AD332" s="7"/>
      <c r="AE332" s="7"/>
      <c r="AF332" s="14" t="str">
        <f aca="false">IF(D332="","",COUNTIF($D$2:D332,D332))</f>
        <v/>
      </c>
      <c r="AG332" s="15" t="str">
        <f aca="false" t="array" ref="AG332:AG332">IF(D332="","",IFERROR(MEDIAN(IF(($D$2:$D$401=D332)*($AF$2:$AF$401&gt;=AF332-5)*($AF$2:$AF$401&lt;=AF332-1)*($M$2:$M$401&lt;&gt;""),$M$2:$M$401)),""))</f>
        <v/>
      </c>
      <c r="AH332" s="16" t="str">
        <f aca="false">IF(AND(ISNUMBER(M332),ISNUMBER(AG332)),IF(AG332&gt;0,M332/AG332,""),"")</f>
        <v/>
      </c>
      <c r="AI332" s="15" t="str">
        <f aca="false" t="array" ref="AI332:AI332">IF(D332="","",IFERROR(MEDIAN(IF(($D$2:$D$401=D332)*($AF$2:$AF$401&gt;=AF332-5)*($AF$2:$AF$401&lt;=AF332-1)*($N$2:$N$401&lt;&gt;""),$N$2:$N$401)),""))</f>
        <v/>
      </c>
      <c r="AJ332" s="16" t="str">
        <f aca="false">IF(AND(ISNUMBER(N332),ISNUMBER(AI332)),IF(AI332&gt;0,N332/AI332,""),"")</f>
        <v/>
      </c>
      <c r="AK332" s="12" t="str">
        <f aca="false" t="array" ref="AK332:AK332">IF(D332="","",IFERROR(MEDIAN(IF(($D$2:$D$401=D332)*ISNUMBER($R$2:$R$401),$R$2:$R$401)),""))</f>
        <v/>
      </c>
      <c r="AL332" s="17" t="str">
        <f aca="false">IF(ISNUMBER(AJ332),IF(AND(AJ332&gt;=Resumen!$C$5,OR(NOT(ISNUMBER(R332)),NOT(ISNUMBER(AK332)),R332&gt;=AK332)),"Ganador",IF(AJ332&lt;=Resumen!$C$6,"Perdedor","Normal")),IF(ISNUMBER(AH332),IF(AH332&gt;=Resumen!$C$5,"Ganador (7 d, provisional)",IF(AH332&lt;=Resumen!$C$6,"Perdedor (7 d, provisional)","Normal (7 d, provisional)")),""))</f>
        <v/>
      </c>
      <c r="AM332" s="18" t="str">
        <f aca="false">IF(AND(ISNUMBER(Z332),ISNUMBER(N332)),IF(N332&gt;0,Z332/N332*1000,""),"")</f>
        <v/>
      </c>
      <c r="AN332" s="19" t="str">
        <f aca="false">IF(AND(ISNUMBER(U332),ISNUMBER(N332)),IF(N332&gt;0,U332/N332*1000,""),"")</f>
        <v/>
      </c>
    </row>
    <row r="333" customFormat="false" ht="15" hidden="false" customHeight="false" outlineLevel="0" collapsed="false">
      <c r="A333" s="7"/>
      <c r="B333" s="7"/>
      <c r="C333" s="8"/>
      <c r="D333" s="7"/>
      <c r="E333" s="7"/>
      <c r="F333" s="7"/>
      <c r="G333" s="7"/>
      <c r="H333" s="7"/>
      <c r="I333" s="7"/>
      <c r="J333" s="7"/>
      <c r="K333" s="9"/>
      <c r="L333" s="10"/>
      <c r="M333" s="10"/>
      <c r="N333" s="10"/>
      <c r="O333" s="10"/>
      <c r="P333" s="11"/>
      <c r="Q333" s="9"/>
      <c r="R333" s="12" t="str">
        <f aca="false">IF(AND(ISNUMBER(K333),ISNUMBER(Q333),K333&gt;0),Q333/K333,"")</f>
        <v/>
      </c>
      <c r="S333" s="11"/>
      <c r="T333" s="9"/>
      <c r="U333" s="10"/>
      <c r="V333" s="11"/>
      <c r="W333" s="11"/>
      <c r="X333" s="11"/>
      <c r="Y333" s="12" t="str">
        <f aca="false">IF(COUNT(V333:X333)=0,"",MAX(0,1-SUM(V333:X333)))</f>
        <v/>
      </c>
      <c r="Z333" s="13"/>
      <c r="AA333" s="9"/>
      <c r="AB333" s="7"/>
      <c r="AC333" s="7"/>
      <c r="AD333" s="7"/>
      <c r="AE333" s="7"/>
      <c r="AF333" s="14" t="str">
        <f aca="false">IF(D333="","",COUNTIF($D$2:D333,D333))</f>
        <v/>
      </c>
      <c r="AG333" s="15" t="str">
        <f aca="false" t="array" ref="AG333:AG333">IF(D333="","",IFERROR(MEDIAN(IF(($D$2:$D$401=D333)*($AF$2:$AF$401&gt;=AF333-5)*($AF$2:$AF$401&lt;=AF333-1)*($M$2:$M$401&lt;&gt;""),$M$2:$M$401)),""))</f>
        <v/>
      </c>
      <c r="AH333" s="16" t="str">
        <f aca="false">IF(AND(ISNUMBER(M333),ISNUMBER(AG333)),IF(AG333&gt;0,M333/AG333,""),"")</f>
        <v/>
      </c>
      <c r="AI333" s="15" t="str">
        <f aca="false" t="array" ref="AI333:AI333">IF(D333="","",IFERROR(MEDIAN(IF(($D$2:$D$401=D333)*($AF$2:$AF$401&gt;=AF333-5)*($AF$2:$AF$401&lt;=AF333-1)*($N$2:$N$401&lt;&gt;""),$N$2:$N$401)),""))</f>
        <v/>
      </c>
      <c r="AJ333" s="16" t="str">
        <f aca="false">IF(AND(ISNUMBER(N333),ISNUMBER(AI333)),IF(AI333&gt;0,N333/AI333,""),"")</f>
        <v/>
      </c>
      <c r="AK333" s="12" t="str">
        <f aca="false" t="array" ref="AK333:AK333">IF(D333="","",IFERROR(MEDIAN(IF(($D$2:$D$401=D333)*ISNUMBER($R$2:$R$401),$R$2:$R$401)),""))</f>
        <v/>
      </c>
      <c r="AL333" s="17" t="str">
        <f aca="false">IF(ISNUMBER(AJ333),IF(AND(AJ333&gt;=Resumen!$C$5,OR(NOT(ISNUMBER(R333)),NOT(ISNUMBER(AK333)),R333&gt;=AK333)),"Ganador",IF(AJ333&lt;=Resumen!$C$6,"Perdedor","Normal")),IF(ISNUMBER(AH333),IF(AH333&gt;=Resumen!$C$5,"Ganador (7 d, provisional)",IF(AH333&lt;=Resumen!$C$6,"Perdedor (7 d, provisional)","Normal (7 d, provisional)")),""))</f>
        <v/>
      </c>
      <c r="AM333" s="18" t="str">
        <f aca="false">IF(AND(ISNUMBER(Z333),ISNUMBER(N333)),IF(N333&gt;0,Z333/N333*1000,""),"")</f>
        <v/>
      </c>
      <c r="AN333" s="19" t="str">
        <f aca="false">IF(AND(ISNUMBER(U333),ISNUMBER(N333)),IF(N333&gt;0,U333/N333*1000,""),"")</f>
        <v/>
      </c>
    </row>
    <row r="334" customFormat="false" ht="15" hidden="false" customHeight="false" outlineLevel="0" collapsed="false">
      <c r="A334" s="7"/>
      <c r="B334" s="7"/>
      <c r="C334" s="8"/>
      <c r="D334" s="7"/>
      <c r="E334" s="7"/>
      <c r="F334" s="7"/>
      <c r="G334" s="7"/>
      <c r="H334" s="7"/>
      <c r="I334" s="7"/>
      <c r="J334" s="7"/>
      <c r="K334" s="9"/>
      <c r="L334" s="10"/>
      <c r="M334" s="10"/>
      <c r="N334" s="10"/>
      <c r="O334" s="10"/>
      <c r="P334" s="11"/>
      <c r="Q334" s="9"/>
      <c r="R334" s="12" t="str">
        <f aca="false">IF(AND(ISNUMBER(K334),ISNUMBER(Q334),K334&gt;0),Q334/K334,"")</f>
        <v/>
      </c>
      <c r="S334" s="11"/>
      <c r="T334" s="9"/>
      <c r="U334" s="10"/>
      <c r="V334" s="11"/>
      <c r="W334" s="11"/>
      <c r="X334" s="11"/>
      <c r="Y334" s="12" t="str">
        <f aca="false">IF(COUNT(V334:X334)=0,"",MAX(0,1-SUM(V334:X334)))</f>
        <v/>
      </c>
      <c r="Z334" s="13"/>
      <c r="AA334" s="9"/>
      <c r="AB334" s="7"/>
      <c r="AC334" s="7"/>
      <c r="AD334" s="7"/>
      <c r="AE334" s="7"/>
      <c r="AF334" s="14" t="str">
        <f aca="false">IF(D334="","",COUNTIF($D$2:D334,D334))</f>
        <v/>
      </c>
      <c r="AG334" s="15" t="str">
        <f aca="false" t="array" ref="AG334:AG334">IF(D334="","",IFERROR(MEDIAN(IF(($D$2:$D$401=D334)*($AF$2:$AF$401&gt;=AF334-5)*($AF$2:$AF$401&lt;=AF334-1)*($M$2:$M$401&lt;&gt;""),$M$2:$M$401)),""))</f>
        <v/>
      </c>
      <c r="AH334" s="16" t="str">
        <f aca="false">IF(AND(ISNUMBER(M334),ISNUMBER(AG334)),IF(AG334&gt;0,M334/AG334,""),"")</f>
        <v/>
      </c>
      <c r="AI334" s="15" t="str">
        <f aca="false" t="array" ref="AI334:AI334">IF(D334="","",IFERROR(MEDIAN(IF(($D$2:$D$401=D334)*($AF$2:$AF$401&gt;=AF334-5)*($AF$2:$AF$401&lt;=AF334-1)*($N$2:$N$401&lt;&gt;""),$N$2:$N$401)),""))</f>
        <v/>
      </c>
      <c r="AJ334" s="16" t="str">
        <f aca="false">IF(AND(ISNUMBER(N334),ISNUMBER(AI334)),IF(AI334&gt;0,N334/AI334,""),"")</f>
        <v/>
      </c>
      <c r="AK334" s="12" t="str">
        <f aca="false" t="array" ref="AK334:AK334">IF(D334="","",IFERROR(MEDIAN(IF(($D$2:$D$401=D334)*ISNUMBER($R$2:$R$401),$R$2:$R$401)),""))</f>
        <v/>
      </c>
      <c r="AL334" s="17" t="str">
        <f aca="false">IF(ISNUMBER(AJ334),IF(AND(AJ334&gt;=Resumen!$C$5,OR(NOT(ISNUMBER(R334)),NOT(ISNUMBER(AK334)),R334&gt;=AK334)),"Ganador",IF(AJ334&lt;=Resumen!$C$6,"Perdedor","Normal")),IF(ISNUMBER(AH334),IF(AH334&gt;=Resumen!$C$5,"Ganador (7 d, provisional)",IF(AH334&lt;=Resumen!$C$6,"Perdedor (7 d, provisional)","Normal (7 d, provisional)")),""))</f>
        <v/>
      </c>
      <c r="AM334" s="18" t="str">
        <f aca="false">IF(AND(ISNUMBER(Z334),ISNUMBER(N334)),IF(N334&gt;0,Z334/N334*1000,""),"")</f>
        <v/>
      </c>
      <c r="AN334" s="19" t="str">
        <f aca="false">IF(AND(ISNUMBER(U334),ISNUMBER(N334)),IF(N334&gt;0,U334/N334*1000,""),"")</f>
        <v/>
      </c>
    </row>
    <row r="335" customFormat="false" ht="15" hidden="false" customHeight="false" outlineLevel="0" collapsed="false">
      <c r="A335" s="7"/>
      <c r="B335" s="7"/>
      <c r="C335" s="8"/>
      <c r="D335" s="7"/>
      <c r="E335" s="7"/>
      <c r="F335" s="7"/>
      <c r="G335" s="7"/>
      <c r="H335" s="7"/>
      <c r="I335" s="7"/>
      <c r="J335" s="7"/>
      <c r="K335" s="9"/>
      <c r="L335" s="10"/>
      <c r="M335" s="10"/>
      <c r="N335" s="10"/>
      <c r="O335" s="10"/>
      <c r="P335" s="11"/>
      <c r="Q335" s="9"/>
      <c r="R335" s="12" t="str">
        <f aca="false">IF(AND(ISNUMBER(K335),ISNUMBER(Q335),K335&gt;0),Q335/K335,"")</f>
        <v/>
      </c>
      <c r="S335" s="11"/>
      <c r="T335" s="9"/>
      <c r="U335" s="10"/>
      <c r="V335" s="11"/>
      <c r="W335" s="11"/>
      <c r="X335" s="11"/>
      <c r="Y335" s="12" t="str">
        <f aca="false">IF(COUNT(V335:X335)=0,"",MAX(0,1-SUM(V335:X335)))</f>
        <v/>
      </c>
      <c r="Z335" s="13"/>
      <c r="AA335" s="9"/>
      <c r="AB335" s="7"/>
      <c r="AC335" s="7"/>
      <c r="AD335" s="7"/>
      <c r="AE335" s="7"/>
      <c r="AF335" s="14" t="str">
        <f aca="false">IF(D335="","",COUNTIF($D$2:D335,D335))</f>
        <v/>
      </c>
      <c r="AG335" s="15" t="str">
        <f aca="false" t="array" ref="AG335:AG335">IF(D335="","",IFERROR(MEDIAN(IF(($D$2:$D$401=D335)*($AF$2:$AF$401&gt;=AF335-5)*($AF$2:$AF$401&lt;=AF335-1)*($M$2:$M$401&lt;&gt;""),$M$2:$M$401)),""))</f>
        <v/>
      </c>
      <c r="AH335" s="16" t="str">
        <f aca="false">IF(AND(ISNUMBER(M335),ISNUMBER(AG335)),IF(AG335&gt;0,M335/AG335,""),"")</f>
        <v/>
      </c>
      <c r="AI335" s="15" t="str">
        <f aca="false" t="array" ref="AI335:AI335">IF(D335="","",IFERROR(MEDIAN(IF(($D$2:$D$401=D335)*($AF$2:$AF$401&gt;=AF335-5)*($AF$2:$AF$401&lt;=AF335-1)*($N$2:$N$401&lt;&gt;""),$N$2:$N$401)),""))</f>
        <v/>
      </c>
      <c r="AJ335" s="16" t="str">
        <f aca="false">IF(AND(ISNUMBER(N335),ISNUMBER(AI335)),IF(AI335&gt;0,N335/AI335,""),"")</f>
        <v/>
      </c>
      <c r="AK335" s="12" t="str">
        <f aca="false" t="array" ref="AK335:AK335">IF(D335="","",IFERROR(MEDIAN(IF(($D$2:$D$401=D335)*ISNUMBER($R$2:$R$401),$R$2:$R$401)),""))</f>
        <v/>
      </c>
      <c r="AL335" s="17" t="str">
        <f aca="false">IF(ISNUMBER(AJ335),IF(AND(AJ335&gt;=Resumen!$C$5,OR(NOT(ISNUMBER(R335)),NOT(ISNUMBER(AK335)),R335&gt;=AK335)),"Ganador",IF(AJ335&lt;=Resumen!$C$6,"Perdedor","Normal")),IF(ISNUMBER(AH335),IF(AH335&gt;=Resumen!$C$5,"Ganador (7 d, provisional)",IF(AH335&lt;=Resumen!$C$6,"Perdedor (7 d, provisional)","Normal (7 d, provisional)")),""))</f>
        <v/>
      </c>
      <c r="AM335" s="18" t="str">
        <f aca="false">IF(AND(ISNUMBER(Z335),ISNUMBER(N335)),IF(N335&gt;0,Z335/N335*1000,""),"")</f>
        <v/>
      </c>
      <c r="AN335" s="19" t="str">
        <f aca="false">IF(AND(ISNUMBER(U335),ISNUMBER(N335)),IF(N335&gt;0,U335/N335*1000,""),"")</f>
        <v/>
      </c>
    </row>
    <row r="336" customFormat="false" ht="15" hidden="false" customHeight="false" outlineLevel="0" collapsed="false">
      <c r="A336" s="7"/>
      <c r="B336" s="7"/>
      <c r="C336" s="8"/>
      <c r="D336" s="7"/>
      <c r="E336" s="7"/>
      <c r="F336" s="7"/>
      <c r="G336" s="7"/>
      <c r="H336" s="7"/>
      <c r="I336" s="7"/>
      <c r="J336" s="7"/>
      <c r="K336" s="9"/>
      <c r="L336" s="10"/>
      <c r="M336" s="10"/>
      <c r="N336" s="10"/>
      <c r="O336" s="10"/>
      <c r="P336" s="11"/>
      <c r="Q336" s="9"/>
      <c r="R336" s="12" t="str">
        <f aca="false">IF(AND(ISNUMBER(K336),ISNUMBER(Q336),K336&gt;0),Q336/K336,"")</f>
        <v/>
      </c>
      <c r="S336" s="11"/>
      <c r="T336" s="9"/>
      <c r="U336" s="10"/>
      <c r="V336" s="11"/>
      <c r="W336" s="11"/>
      <c r="X336" s="11"/>
      <c r="Y336" s="12" t="str">
        <f aca="false">IF(COUNT(V336:X336)=0,"",MAX(0,1-SUM(V336:X336)))</f>
        <v/>
      </c>
      <c r="Z336" s="13"/>
      <c r="AA336" s="9"/>
      <c r="AB336" s="7"/>
      <c r="AC336" s="7"/>
      <c r="AD336" s="7"/>
      <c r="AE336" s="7"/>
      <c r="AF336" s="14" t="str">
        <f aca="false">IF(D336="","",COUNTIF($D$2:D336,D336))</f>
        <v/>
      </c>
      <c r="AG336" s="15" t="str">
        <f aca="false" t="array" ref="AG336:AG336">IF(D336="","",IFERROR(MEDIAN(IF(($D$2:$D$401=D336)*($AF$2:$AF$401&gt;=AF336-5)*($AF$2:$AF$401&lt;=AF336-1)*($M$2:$M$401&lt;&gt;""),$M$2:$M$401)),""))</f>
        <v/>
      </c>
      <c r="AH336" s="16" t="str">
        <f aca="false">IF(AND(ISNUMBER(M336),ISNUMBER(AG336)),IF(AG336&gt;0,M336/AG336,""),"")</f>
        <v/>
      </c>
      <c r="AI336" s="15" t="str">
        <f aca="false" t="array" ref="AI336:AI336">IF(D336="","",IFERROR(MEDIAN(IF(($D$2:$D$401=D336)*($AF$2:$AF$401&gt;=AF336-5)*($AF$2:$AF$401&lt;=AF336-1)*($N$2:$N$401&lt;&gt;""),$N$2:$N$401)),""))</f>
        <v/>
      </c>
      <c r="AJ336" s="16" t="str">
        <f aca="false">IF(AND(ISNUMBER(N336),ISNUMBER(AI336)),IF(AI336&gt;0,N336/AI336,""),"")</f>
        <v/>
      </c>
      <c r="AK336" s="12" t="str">
        <f aca="false" t="array" ref="AK336:AK336">IF(D336="","",IFERROR(MEDIAN(IF(($D$2:$D$401=D336)*ISNUMBER($R$2:$R$401),$R$2:$R$401)),""))</f>
        <v/>
      </c>
      <c r="AL336" s="17" t="str">
        <f aca="false">IF(ISNUMBER(AJ336),IF(AND(AJ336&gt;=Resumen!$C$5,OR(NOT(ISNUMBER(R336)),NOT(ISNUMBER(AK336)),R336&gt;=AK336)),"Ganador",IF(AJ336&lt;=Resumen!$C$6,"Perdedor","Normal")),IF(ISNUMBER(AH336),IF(AH336&gt;=Resumen!$C$5,"Ganador (7 d, provisional)",IF(AH336&lt;=Resumen!$C$6,"Perdedor (7 d, provisional)","Normal (7 d, provisional)")),""))</f>
        <v/>
      </c>
      <c r="AM336" s="18" t="str">
        <f aca="false">IF(AND(ISNUMBER(Z336),ISNUMBER(N336)),IF(N336&gt;0,Z336/N336*1000,""),"")</f>
        <v/>
      </c>
      <c r="AN336" s="19" t="str">
        <f aca="false">IF(AND(ISNUMBER(U336),ISNUMBER(N336)),IF(N336&gt;0,U336/N336*1000,""),"")</f>
        <v/>
      </c>
    </row>
    <row r="337" customFormat="false" ht="15" hidden="false" customHeight="false" outlineLevel="0" collapsed="false">
      <c r="A337" s="7"/>
      <c r="B337" s="7"/>
      <c r="C337" s="8"/>
      <c r="D337" s="7"/>
      <c r="E337" s="7"/>
      <c r="F337" s="7"/>
      <c r="G337" s="7"/>
      <c r="H337" s="7"/>
      <c r="I337" s="7"/>
      <c r="J337" s="7"/>
      <c r="K337" s="9"/>
      <c r="L337" s="10"/>
      <c r="M337" s="10"/>
      <c r="N337" s="10"/>
      <c r="O337" s="10"/>
      <c r="P337" s="11"/>
      <c r="Q337" s="9"/>
      <c r="R337" s="12" t="str">
        <f aca="false">IF(AND(ISNUMBER(K337),ISNUMBER(Q337),K337&gt;0),Q337/K337,"")</f>
        <v/>
      </c>
      <c r="S337" s="11"/>
      <c r="T337" s="9"/>
      <c r="U337" s="10"/>
      <c r="V337" s="11"/>
      <c r="W337" s="11"/>
      <c r="X337" s="11"/>
      <c r="Y337" s="12" t="str">
        <f aca="false">IF(COUNT(V337:X337)=0,"",MAX(0,1-SUM(V337:X337)))</f>
        <v/>
      </c>
      <c r="Z337" s="13"/>
      <c r="AA337" s="9"/>
      <c r="AB337" s="7"/>
      <c r="AC337" s="7"/>
      <c r="AD337" s="7"/>
      <c r="AE337" s="7"/>
      <c r="AF337" s="14" t="str">
        <f aca="false">IF(D337="","",COUNTIF($D$2:D337,D337))</f>
        <v/>
      </c>
      <c r="AG337" s="15" t="str">
        <f aca="false" t="array" ref="AG337:AG337">IF(D337="","",IFERROR(MEDIAN(IF(($D$2:$D$401=D337)*($AF$2:$AF$401&gt;=AF337-5)*($AF$2:$AF$401&lt;=AF337-1)*($M$2:$M$401&lt;&gt;""),$M$2:$M$401)),""))</f>
        <v/>
      </c>
      <c r="AH337" s="16" t="str">
        <f aca="false">IF(AND(ISNUMBER(M337),ISNUMBER(AG337)),IF(AG337&gt;0,M337/AG337,""),"")</f>
        <v/>
      </c>
      <c r="AI337" s="15" t="str">
        <f aca="false" t="array" ref="AI337:AI337">IF(D337="","",IFERROR(MEDIAN(IF(($D$2:$D$401=D337)*($AF$2:$AF$401&gt;=AF337-5)*($AF$2:$AF$401&lt;=AF337-1)*($N$2:$N$401&lt;&gt;""),$N$2:$N$401)),""))</f>
        <v/>
      </c>
      <c r="AJ337" s="16" t="str">
        <f aca="false">IF(AND(ISNUMBER(N337),ISNUMBER(AI337)),IF(AI337&gt;0,N337/AI337,""),"")</f>
        <v/>
      </c>
      <c r="AK337" s="12" t="str">
        <f aca="false" t="array" ref="AK337:AK337">IF(D337="","",IFERROR(MEDIAN(IF(($D$2:$D$401=D337)*ISNUMBER($R$2:$R$401),$R$2:$R$401)),""))</f>
        <v/>
      </c>
      <c r="AL337" s="17" t="str">
        <f aca="false">IF(ISNUMBER(AJ337),IF(AND(AJ337&gt;=Resumen!$C$5,OR(NOT(ISNUMBER(R337)),NOT(ISNUMBER(AK337)),R337&gt;=AK337)),"Ganador",IF(AJ337&lt;=Resumen!$C$6,"Perdedor","Normal")),IF(ISNUMBER(AH337),IF(AH337&gt;=Resumen!$C$5,"Ganador (7 d, provisional)",IF(AH337&lt;=Resumen!$C$6,"Perdedor (7 d, provisional)","Normal (7 d, provisional)")),""))</f>
        <v/>
      </c>
      <c r="AM337" s="18" t="str">
        <f aca="false">IF(AND(ISNUMBER(Z337),ISNUMBER(N337)),IF(N337&gt;0,Z337/N337*1000,""),"")</f>
        <v/>
      </c>
      <c r="AN337" s="19" t="str">
        <f aca="false">IF(AND(ISNUMBER(U337),ISNUMBER(N337)),IF(N337&gt;0,U337/N337*1000,""),"")</f>
        <v/>
      </c>
    </row>
    <row r="338" customFormat="false" ht="15" hidden="false" customHeight="false" outlineLevel="0" collapsed="false">
      <c r="A338" s="7"/>
      <c r="B338" s="7"/>
      <c r="C338" s="8"/>
      <c r="D338" s="7"/>
      <c r="E338" s="7"/>
      <c r="F338" s="7"/>
      <c r="G338" s="7"/>
      <c r="H338" s="7"/>
      <c r="I338" s="7"/>
      <c r="J338" s="7"/>
      <c r="K338" s="9"/>
      <c r="L338" s="10"/>
      <c r="M338" s="10"/>
      <c r="N338" s="10"/>
      <c r="O338" s="10"/>
      <c r="P338" s="11"/>
      <c r="Q338" s="9"/>
      <c r="R338" s="12" t="str">
        <f aca="false">IF(AND(ISNUMBER(K338),ISNUMBER(Q338),K338&gt;0),Q338/K338,"")</f>
        <v/>
      </c>
      <c r="S338" s="11"/>
      <c r="T338" s="9"/>
      <c r="U338" s="10"/>
      <c r="V338" s="11"/>
      <c r="W338" s="11"/>
      <c r="X338" s="11"/>
      <c r="Y338" s="12" t="str">
        <f aca="false">IF(COUNT(V338:X338)=0,"",MAX(0,1-SUM(V338:X338)))</f>
        <v/>
      </c>
      <c r="Z338" s="13"/>
      <c r="AA338" s="9"/>
      <c r="AB338" s="7"/>
      <c r="AC338" s="7"/>
      <c r="AD338" s="7"/>
      <c r="AE338" s="7"/>
      <c r="AF338" s="14" t="str">
        <f aca="false">IF(D338="","",COUNTIF($D$2:D338,D338))</f>
        <v/>
      </c>
      <c r="AG338" s="15" t="str">
        <f aca="false" t="array" ref="AG338:AG338">IF(D338="","",IFERROR(MEDIAN(IF(($D$2:$D$401=D338)*($AF$2:$AF$401&gt;=AF338-5)*($AF$2:$AF$401&lt;=AF338-1)*($M$2:$M$401&lt;&gt;""),$M$2:$M$401)),""))</f>
        <v/>
      </c>
      <c r="AH338" s="16" t="str">
        <f aca="false">IF(AND(ISNUMBER(M338),ISNUMBER(AG338)),IF(AG338&gt;0,M338/AG338,""),"")</f>
        <v/>
      </c>
      <c r="AI338" s="15" t="str">
        <f aca="false" t="array" ref="AI338:AI338">IF(D338="","",IFERROR(MEDIAN(IF(($D$2:$D$401=D338)*($AF$2:$AF$401&gt;=AF338-5)*($AF$2:$AF$401&lt;=AF338-1)*($N$2:$N$401&lt;&gt;""),$N$2:$N$401)),""))</f>
        <v/>
      </c>
      <c r="AJ338" s="16" t="str">
        <f aca="false">IF(AND(ISNUMBER(N338),ISNUMBER(AI338)),IF(AI338&gt;0,N338/AI338,""),"")</f>
        <v/>
      </c>
      <c r="AK338" s="12" t="str">
        <f aca="false" t="array" ref="AK338:AK338">IF(D338="","",IFERROR(MEDIAN(IF(($D$2:$D$401=D338)*ISNUMBER($R$2:$R$401),$R$2:$R$401)),""))</f>
        <v/>
      </c>
      <c r="AL338" s="17" t="str">
        <f aca="false">IF(ISNUMBER(AJ338),IF(AND(AJ338&gt;=Resumen!$C$5,OR(NOT(ISNUMBER(R338)),NOT(ISNUMBER(AK338)),R338&gt;=AK338)),"Ganador",IF(AJ338&lt;=Resumen!$C$6,"Perdedor","Normal")),IF(ISNUMBER(AH338),IF(AH338&gt;=Resumen!$C$5,"Ganador (7 d, provisional)",IF(AH338&lt;=Resumen!$C$6,"Perdedor (7 d, provisional)","Normal (7 d, provisional)")),""))</f>
        <v/>
      </c>
      <c r="AM338" s="18" t="str">
        <f aca="false">IF(AND(ISNUMBER(Z338),ISNUMBER(N338)),IF(N338&gt;0,Z338/N338*1000,""),"")</f>
        <v/>
      </c>
      <c r="AN338" s="19" t="str">
        <f aca="false">IF(AND(ISNUMBER(U338),ISNUMBER(N338)),IF(N338&gt;0,U338/N338*1000,""),"")</f>
        <v/>
      </c>
    </row>
    <row r="339" customFormat="false" ht="15" hidden="false" customHeight="false" outlineLevel="0" collapsed="false">
      <c r="A339" s="7"/>
      <c r="B339" s="7"/>
      <c r="C339" s="8"/>
      <c r="D339" s="7"/>
      <c r="E339" s="7"/>
      <c r="F339" s="7"/>
      <c r="G339" s="7"/>
      <c r="H339" s="7"/>
      <c r="I339" s="7"/>
      <c r="J339" s="7"/>
      <c r="K339" s="9"/>
      <c r="L339" s="10"/>
      <c r="M339" s="10"/>
      <c r="N339" s="10"/>
      <c r="O339" s="10"/>
      <c r="P339" s="11"/>
      <c r="Q339" s="9"/>
      <c r="R339" s="12" t="str">
        <f aca="false">IF(AND(ISNUMBER(K339),ISNUMBER(Q339),K339&gt;0),Q339/K339,"")</f>
        <v/>
      </c>
      <c r="S339" s="11"/>
      <c r="T339" s="9"/>
      <c r="U339" s="10"/>
      <c r="V339" s="11"/>
      <c r="W339" s="11"/>
      <c r="X339" s="11"/>
      <c r="Y339" s="12" t="str">
        <f aca="false">IF(COUNT(V339:X339)=0,"",MAX(0,1-SUM(V339:X339)))</f>
        <v/>
      </c>
      <c r="Z339" s="13"/>
      <c r="AA339" s="9"/>
      <c r="AB339" s="7"/>
      <c r="AC339" s="7"/>
      <c r="AD339" s="7"/>
      <c r="AE339" s="7"/>
      <c r="AF339" s="14" t="str">
        <f aca="false">IF(D339="","",COUNTIF($D$2:D339,D339))</f>
        <v/>
      </c>
      <c r="AG339" s="15" t="str">
        <f aca="false" t="array" ref="AG339:AG339">IF(D339="","",IFERROR(MEDIAN(IF(($D$2:$D$401=D339)*($AF$2:$AF$401&gt;=AF339-5)*($AF$2:$AF$401&lt;=AF339-1)*($M$2:$M$401&lt;&gt;""),$M$2:$M$401)),""))</f>
        <v/>
      </c>
      <c r="AH339" s="16" t="str">
        <f aca="false">IF(AND(ISNUMBER(M339),ISNUMBER(AG339)),IF(AG339&gt;0,M339/AG339,""),"")</f>
        <v/>
      </c>
      <c r="AI339" s="15" t="str">
        <f aca="false" t="array" ref="AI339:AI339">IF(D339="","",IFERROR(MEDIAN(IF(($D$2:$D$401=D339)*($AF$2:$AF$401&gt;=AF339-5)*($AF$2:$AF$401&lt;=AF339-1)*($N$2:$N$401&lt;&gt;""),$N$2:$N$401)),""))</f>
        <v/>
      </c>
      <c r="AJ339" s="16" t="str">
        <f aca="false">IF(AND(ISNUMBER(N339),ISNUMBER(AI339)),IF(AI339&gt;0,N339/AI339,""),"")</f>
        <v/>
      </c>
      <c r="AK339" s="12" t="str">
        <f aca="false" t="array" ref="AK339:AK339">IF(D339="","",IFERROR(MEDIAN(IF(($D$2:$D$401=D339)*ISNUMBER($R$2:$R$401),$R$2:$R$401)),""))</f>
        <v/>
      </c>
      <c r="AL339" s="17" t="str">
        <f aca="false">IF(ISNUMBER(AJ339),IF(AND(AJ339&gt;=Resumen!$C$5,OR(NOT(ISNUMBER(R339)),NOT(ISNUMBER(AK339)),R339&gt;=AK339)),"Ganador",IF(AJ339&lt;=Resumen!$C$6,"Perdedor","Normal")),IF(ISNUMBER(AH339),IF(AH339&gt;=Resumen!$C$5,"Ganador (7 d, provisional)",IF(AH339&lt;=Resumen!$C$6,"Perdedor (7 d, provisional)","Normal (7 d, provisional)")),""))</f>
        <v/>
      </c>
      <c r="AM339" s="18" t="str">
        <f aca="false">IF(AND(ISNUMBER(Z339),ISNUMBER(N339)),IF(N339&gt;0,Z339/N339*1000,""),"")</f>
        <v/>
      </c>
      <c r="AN339" s="19" t="str">
        <f aca="false">IF(AND(ISNUMBER(U339),ISNUMBER(N339)),IF(N339&gt;0,U339/N339*1000,""),"")</f>
        <v/>
      </c>
    </row>
    <row r="340" customFormat="false" ht="15" hidden="false" customHeight="false" outlineLevel="0" collapsed="false">
      <c r="A340" s="7"/>
      <c r="B340" s="7"/>
      <c r="C340" s="8"/>
      <c r="D340" s="7"/>
      <c r="E340" s="7"/>
      <c r="F340" s="7"/>
      <c r="G340" s="7"/>
      <c r="H340" s="7"/>
      <c r="I340" s="7"/>
      <c r="J340" s="7"/>
      <c r="K340" s="9"/>
      <c r="L340" s="10"/>
      <c r="M340" s="10"/>
      <c r="N340" s="10"/>
      <c r="O340" s="10"/>
      <c r="P340" s="11"/>
      <c r="Q340" s="9"/>
      <c r="R340" s="12" t="str">
        <f aca="false">IF(AND(ISNUMBER(K340),ISNUMBER(Q340),K340&gt;0),Q340/K340,"")</f>
        <v/>
      </c>
      <c r="S340" s="11"/>
      <c r="T340" s="9"/>
      <c r="U340" s="10"/>
      <c r="V340" s="11"/>
      <c r="W340" s="11"/>
      <c r="X340" s="11"/>
      <c r="Y340" s="12" t="str">
        <f aca="false">IF(COUNT(V340:X340)=0,"",MAX(0,1-SUM(V340:X340)))</f>
        <v/>
      </c>
      <c r="Z340" s="13"/>
      <c r="AA340" s="9"/>
      <c r="AB340" s="7"/>
      <c r="AC340" s="7"/>
      <c r="AD340" s="7"/>
      <c r="AE340" s="7"/>
      <c r="AF340" s="14" t="str">
        <f aca="false">IF(D340="","",COUNTIF($D$2:D340,D340))</f>
        <v/>
      </c>
      <c r="AG340" s="15" t="str">
        <f aca="false" t="array" ref="AG340:AG340">IF(D340="","",IFERROR(MEDIAN(IF(($D$2:$D$401=D340)*($AF$2:$AF$401&gt;=AF340-5)*($AF$2:$AF$401&lt;=AF340-1)*($M$2:$M$401&lt;&gt;""),$M$2:$M$401)),""))</f>
        <v/>
      </c>
      <c r="AH340" s="16" t="str">
        <f aca="false">IF(AND(ISNUMBER(M340),ISNUMBER(AG340)),IF(AG340&gt;0,M340/AG340,""),"")</f>
        <v/>
      </c>
      <c r="AI340" s="15" t="str">
        <f aca="false" t="array" ref="AI340:AI340">IF(D340="","",IFERROR(MEDIAN(IF(($D$2:$D$401=D340)*($AF$2:$AF$401&gt;=AF340-5)*($AF$2:$AF$401&lt;=AF340-1)*($N$2:$N$401&lt;&gt;""),$N$2:$N$401)),""))</f>
        <v/>
      </c>
      <c r="AJ340" s="16" t="str">
        <f aca="false">IF(AND(ISNUMBER(N340),ISNUMBER(AI340)),IF(AI340&gt;0,N340/AI340,""),"")</f>
        <v/>
      </c>
      <c r="AK340" s="12" t="str">
        <f aca="false" t="array" ref="AK340:AK340">IF(D340="","",IFERROR(MEDIAN(IF(($D$2:$D$401=D340)*ISNUMBER($R$2:$R$401),$R$2:$R$401)),""))</f>
        <v/>
      </c>
      <c r="AL340" s="17" t="str">
        <f aca="false">IF(ISNUMBER(AJ340),IF(AND(AJ340&gt;=Resumen!$C$5,OR(NOT(ISNUMBER(R340)),NOT(ISNUMBER(AK340)),R340&gt;=AK340)),"Ganador",IF(AJ340&lt;=Resumen!$C$6,"Perdedor","Normal")),IF(ISNUMBER(AH340),IF(AH340&gt;=Resumen!$C$5,"Ganador (7 d, provisional)",IF(AH340&lt;=Resumen!$C$6,"Perdedor (7 d, provisional)","Normal (7 d, provisional)")),""))</f>
        <v/>
      </c>
      <c r="AM340" s="18" t="str">
        <f aca="false">IF(AND(ISNUMBER(Z340),ISNUMBER(N340)),IF(N340&gt;0,Z340/N340*1000,""),"")</f>
        <v/>
      </c>
      <c r="AN340" s="19" t="str">
        <f aca="false">IF(AND(ISNUMBER(U340),ISNUMBER(N340)),IF(N340&gt;0,U340/N340*1000,""),"")</f>
        <v/>
      </c>
    </row>
    <row r="341" customFormat="false" ht="15" hidden="false" customHeight="false" outlineLevel="0" collapsed="false">
      <c r="A341" s="7"/>
      <c r="B341" s="7"/>
      <c r="C341" s="8"/>
      <c r="D341" s="7"/>
      <c r="E341" s="7"/>
      <c r="F341" s="7"/>
      <c r="G341" s="7"/>
      <c r="H341" s="7"/>
      <c r="I341" s="7"/>
      <c r="J341" s="7"/>
      <c r="K341" s="9"/>
      <c r="L341" s="10"/>
      <c r="M341" s="10"/>
      <c r="N341" s="10"/>
      <c r="O341" s="10"/>
      <c r="P341" s="11"/>
      <c r="Q341" s="9"/>
      <c r="R341" s="12" t="str">
        <f aca="false">IF(AND(ISNUMBER(K341),ISNUMBER(Q341),K341&gt;0),Q341/K341,"")</f>
        <v/>
      </c>
      <c r="S341" s="11"/>
      <c r="T341" s="9"/>
      <c r="U341" s="10"/>
      <c r="V341" s="11"/>
      <c r="W341" s="11"/>
      <c r="X341" s="11"/>
      <c r="Y341" s="12" t="str">
        <f aca="false">IF(COUNT(V341:X341)=0,"",MAX(0,1-SUM(V341:X341)))</f>
        <v/>
      </c>
      <c r="Z341" s="13"/>
      <c r="AA341" s="9"/>
      <c r="AB341" s="7"/>
      <c r="AC341" s="7"/>
      <c r="AD341" s="7"/>
      <c r="AE341" s="7"/>
      <c r="AF341" s="14" t="str">
        <f aca="false">IF(D341="","",COUNTIF($D$2:D341,D341))</f>
        <v/>
      </c>
      <c r="AG341" s="15" t="str">
        <f aca="false" t="array" ref="AG341:AG341">IF(D341="","",IFERROR(MEDIAN(IF(($D$2:$D$401=D341)*($AF$2:$AF$401&gt;=AF341-5)*($AF$2:$AF$401&lt;=AF341-1)*($M$2:$M$401&lt;&gt;""),$M$2:$M$401)),""))</f>
        <v/>
      </c>
      <c r="AH341" s="16" t="str">
        <f aca="false">IF(AND(ISNUMBER(M341),ISNUMBER(AG341)),IF(AG341&gt;0,M341/AG341,""),"")</f>
        <v/>
      </c>
      <c r="AI341" s="15" t="str">
        <f aca="false" t="array" ref="AI341:AI341">IF(D341="","",IFERROR(MEDIAN(IF(($D$2:$D$401=D341)*($AF$2:$AF$401&gt;=AF341-5)*($AF$2:$AF$401&lt;=AF341-1)*($N$2:$N$401&lt;&gt;""),$N$2:$N$401)),""))</f>
        <v/>
      </c>
      <c r="AJ341" s="16" t="str">
        <f aca="false">IF(AND(ISNUMBER(N341),ISNUMBER(AI341)),IF(AI341&gt;0,N341/AI341,""),"")</f>
        <v/>
      </c>
      <c r="AK341" s="12" t="str">
        <f aca="false" t="array" ref="AK341:AK341">IF(D341="","",IFERROR(MEDIAN(IF(($D$2:$D$401=D341)*ISNUMBER($R$2:$R$401),$R$2:$R$401)),""))</f>
        <v/>
      </c>
      <c r="AL341" s="17" t="str">
        <f aca="false">IF(ISNUMBER(AJ341),IF(AND(AJ341&gt;=Resumen!$C$5,OR(NOT(ISNUMBER(R341)),NOT(ISNUMBER(AK341)),R341&gt;=AK341)),"Ganador",IF(AJ341&lt;=Resumen!$C$6,"Perdedor","Normal")),IF(ISNUMBER(AH341),IF(AH341&gt;=Resumen!$C$5,"Ganador (7 d, provisional)",IF(AH341&lt;=Resumen!$C$6,"Perdedor (7 d, provisional)","Normal (7 d, provisional)")),""))</f>
        <v/>
      </c>
      <c r="AM341" s="18" t="str">
        <f aca="false">IF(AND(ISNUMBER(Z341),ISNUMBER(N341)),IF(N341&gt;0,Z341/N341*1000,""),"")</f>
        <v/>
      </c>
      <c r="AN341" s="19" t="str">
        <f aca="false">IF(AND(ISNUMBER(U341),ISNUMBER(N341)),IF(N341&gt;0,U341/N341*1000,""),"")</f>
        <v/>
      </c>
    </row>
    <row r="342" customFormat="false" ht="15" hidden="false" customHeight="false" outlineLevel="0" collapsed="false">
      <c r="A342" s="7"/>
      <c r="B342" s="7"/>
      <c r="C342" s="8"/>
      <c r="D342" s="7"/>
      <c r="E342" s="7"/>
      <c r="F342" s="7"/>
      <c r="G342" s="7"/>
      <c r="H342" s="7"/>
      <c r="I342" s="7"/>
      <c r="J342" s="7"/>
      <c r="K342" s="9"/>
      <c r="L342" s="10"/>
      <c r="M342" s="10"/>
      <c r="N342" s="10"/>
      <c r="O342" s="10"/>
      <c r="P342" s="11"/>
      <c r="Q342" s="9"/>
      <c r="R342" s="12" t="str">
        <f aca="false">IF(AND(ISNUMBER(K342),ISNUMBER(Q342),K342&gt;0),Q342/K342,"")</f>
        <v/>
      </c>
      <c r="S342" s="11"/>
      <c r="T342" s="9"/>
      <c r="U342" s="10"/>
      <c r="V342" s="11"/>
      <c r="W342" s="11"/>
      <c r="X342" s="11"/>
      <c r="Y342" s="12" t="str">
        <f aca="false">IF(COUNT(V342:X342)=0,"",MAX(0,1-SUM(V342:X342)))</f>
        <v/>
      </c>
      <c r="Z342" s="13"/>
      <c r="AA342" s="9"/>
      <c r="AB342" s="7"/>
      <c r="AC342" s="7"/>
      <c r="AD342" s="7"/>
      <c r="AE342" s="7"/>
      <c r="AF342" s="14" t="str">
        <f aca="false">IF(D342="","",COUNTIF($D$2:D342,D342))</f>
        <v/>
      </c>
      <c r="AG342" s="15" t="str">
        <f aca="false" t="array" ref="AG342:AG342">IF(D342="","",IFERROR(MEDIAN(IF(($D$2:$D$401=D342)*($AF$2:$AF$401&gt;=AF342-5)*($AF$2:$AF$401&lt;=AF342-1)*($M$2:$M$401&lt;&gt;""),$M$2:$M$401)),""))</f>
        <v/>
      </c>
      <c r="AH342" s="16" t="str">
        <f aca="false">IF(AND(ISNUMBER(M342),ISNUMBER(AG342)),IF(AG342&gt;0,M342/AG342,""),"")</f>
        <v/>
      </c>
      <c r="AI342" s="15" t="str">
        <f aca="false" t="array" ref="AI342:AI342">IF(D342="","",IFERROR(MEDIAN(IF(($D$2:$D$401=D342)*($AF$2:$AF$401&gt;=AF342-5)*($AF$2:$AF$401&lt;=AF342-1)*($N$2:$N$401&lt;&gt;""),$N$2:$N$401)),""))</f>
        <v/>
      </c>
      <c r="AJ342" s="16" t="str">
        <f aca="false">IF(AND(ISNUMBER(N342),ISNUMBER(AI342)),IF(AI342&gt;0,N342/AI342,""),"")</f>
        <v/>
      </c>
      <c r="AK342" s="12" t="str">
        <f aca="false" t="array" ref="AK342:AK342">IF(D342="","",IFERROR(MEDIAN(IF(($D$2:$D$401=D342)*ISNUMBER($R$2:$R$401),$R$2:$R$401)),""))</f>
        <v/>
      </c>
      <c r="AL342" s="17" t="str">
        <f aca="false">IF(ISNUMBER(AJ342),IF(AND(AJ342&gt;=Resumen!$C$5,OR(NOT(ISNUMBER(R342)),NOT(ISNUMBER(AK342)),R342&gt;=AK342)),"Ganador",IF(AJ342&lt;=Resumen!$C$6,"Perdedor","Normal")),IF(ISNUMBER(AH342),IF(AH342&gt;=Resumen!$C$5,"Ganador (7 d, provisional)",IF(AH342&lt;=Resumen!$C$6,"Perdedor (7 d, provisional)","Normal (7 d, provisional)")),""))</f>
        <v/>
      </c>
      <c r="AM342" s="18" t="str">
        <f aca="false">IF(AND(ISNUMBER(Z342),ISNUMBER(N342)),IF(N342&gt;0,Z342/N342*1000,""),"")</f>
        <v/>
      </c>
      <c r="AN342" s="19" t="str">
        <f aca="false">IF(AND(ISNUMBER(U342),ISNUMBER(N342)),IF(N342&gt;0,U342/N342*1000,""),"")</f>
        <v/>
      </c>
    </row>
    <row r="343" customFormat="false" ht="15" hidden="false" customHeight="false" outlineLevel="0" collapsed="false">
      <c r="A343" s="7"/>
      <c r="B343" s="7"/>
      <c r="C343" s="8"/>
      <c r="D343" s="7"/>
      <c r="E343" s="7"/>
      <c r="F343" s="7"/>
      <c r="G343" s="7"/>
      <c r="H343" s="7"/>
      <c r="I343" s="7"/>
      <c r="J343" s="7"/>
      <c r="K343" s="9"/>
      <c r="L343" s="10"/>
      <c r="M343" s="10"/>
      <c r="N343" s="10"/>
      <c r="O343" s="10"/>
      <c r="P343" s="11"/>
      <c r="Q343" s="9"/>
      <c r="R343" s="12" t="str">
        <f aca="false">IF(AND(ISNUMBER(K343),ISNUMBER(Q343),K343&gt;0),Q343/K343,"")</f>
        <v/>
      </c>
      <c r="S343" s="11"/>
      <c r="T343" s="9"/>
      <c r="U343" s="10"/>
      <c r="V343" s="11"/>
      <c r="W343" s="11"/>
      <c r="X343" s="11"/>
      <c r="Y343" s="12" t="str">
        <f aca="false">IF(COUNT(V343:X343)=0,"",MAX(0,1-SUM(V343:X343)))</f>
        <v/>
      </c>
      <c r="Z343" s="13"/>
      <c r="AA343" s="9"/>
      <c r="AB343" s="7"/>
      <c r="AC343" s="7"/>
      <c r="AD343" s="7"/>
      <c r="AE343" s="7"/>
      <c r="AF343" s="14" t="str">
        <f aca="false">IF(D343="","",COUNTIF($D$2:D343,D343))</f>
        <v/>
      </c>
      <c r="AG343" s="15" t="str">
        <f aca="false" t="array" ref="AG343:AG343">IF(D343="","",IFERROR(MEDIAN(IF(($D$2:$D$401=D343)*($AF$2:$AF$401&gt;=AF343-5)*($AF$2:$AF$401&lt;=AF343-1)*($M$2:$M$401&lt;&gt;""),$M$2:$M$401)),""))</f>
        <v/>
      </c>
      <c r="AH343" s="16" t="str">
        <f aca="false">IF(AND(ISNUMBER(M343),ISNUMBER(AG343)),IF(AG343&gt;0,M343/AG343,""),"")</f>
        <v/>
      </c>
      <c r="AI343" s="15" t="str">
        <f aca="false" t="array" ref="AI343:AI343">IF(D343="","",IFERROR(MEDIAN(IF(($D$2:$D$401=D343)*($AF$2:$AF$401&gt;=AF343-5)*($AF$2:$AF$401&lt;=AF343-1)*($N$2:$N$401&lt;&gt;""),$N$2:$N$401)),""))</f>
        <v/>
      </c>
      <c r="AJ343" s="16" t="str">
        <f aca="false">IF(AND(ISNUMBER(N343),ISNUMBER(AI343)),IF(AI343&gt;0,N343/AI343,""),"")</f>
        <v/>
      </c>
      <c r="AK343" s="12" t="str">
        <f aca="false" t="array" ref="AK343:AK343">IF(D343="","",IFERROR(MEDIAN(IF(($D$2:$D$401=D343)*ISNUMBER($R$2:$R$401),$R$2:$R$401)),""))</f>
        <v/>
      </c>
      <c r="AL343" s="17" t="str">
        <f aca="false">IF(ISNUMBER(AJ343),IF(AND(AJ343&gt;=Resumen!$C$5,OR(NOT(ISNUMBER(R343)),NOT(ISNUMBER(AK343)),R343&gt;=AK343)),"Ganador",IF(AJ343&lt;=Resumen!$C$6,"Perdedor","Normal")),IF(ISNUMBER(AH343),IF(AH343&gt;=Resumen!$C$5,"Ganador (7 d, provisional)",IF(AH343&lt;=Resumen!$C$6,"Perdedor (7 d, provisional)","Normal (7 d, provisional)")),""))</f>
        <v/>
      </c>
      <c r="AM343" s="18" t="str">
        <f aca="false">IF(AND(ISNUMBER(Z343),ISNUMBER(N343)),IF(N343&gt;0,Z343/N343*1000,""),"")</f>
        <v/>
      </c>
      <c r="AN343" s="19" t="str">
        <f aca="false">IF(AND(ISNUMBER(U343),ISNUMBER(N343)),IF(N343&gt;0,U343/N343*1000,""),"")</f>
        <v/>
      </c>
    </row>
    <row r="344" customFormat="false" ht="15" hidden="false" customHeight="false" outlineLevel="0" collapsed="false">
      <c r="A344" s="7"/>
      <c r="B344" s="7"/>
      <c r="C344" s="8"/>
      <c r="D344" s="7"/>
      <c r="E344" s="7"/>
      <c r="F344" s="7"/>
      <c r="G344" s="7"/>
      <c r="H344" s="7"/>
      <c r="I344" s="7"/>
      <c r="J344" s="7"/>
      <c r="K344" s="9"/>
      <c r="L344" s="10"/>
      <c r="M344" s="10"/>
      <c r="N344" s="10"/>
      <c r="O344" s="10"/>
      <c r="P344" s="11"/>
      <c r="Q344" s="9"/>
      <c r="R344" s="12" t="str">
        <f aca="false">IF(AND(ISNUMBER(K344),ISNUMBER(Q344),K344&gt;0),Q344/K344,"")</f>
        <v/>
      </c>
      <c r="S344" s="11"/>
      <c r="T344" s="9"/>
      <c r="U344" s="10"/>
      <c r="V344" s="11"/>
      <c r="W344" s="11"/>
      <c r="X344" s="11"/>
      <c r="Y344" s="12" t="str">
        <f aca="false">IF(COUNT(V344:X344)=0,"",MAX(0,1-SUM(V344:X344)))</f>
        <v/>
      </c>
      <c r="Z344" s="13"/>
      <c r="AA344" s="9"/>
      <c r="AB344" s="7"/>
      <c r="AC344" s="7"/>
      <c r="AD344" s="7"/>
      <c r="AE344" s="7"/>
      <c r="AF344" s="14" t="str">
        <f aca="false">IF(D344="","",COUNTIF($D$2:D344,D344))</f>
        <v/>
      </c>
      <c r="AG344" s="15" t="str">
        <f aca="false" t="array" ref="AG344:AG344">IF(D344="","",IFERROR(MEDIAN(IF(($D$2:$D$401=D344)*($AF$2:$AF$401&gt;=AF344-5)*($AF$2:$AF$401&lt;=AF344-1)*($M$2:$M$401&lt;&gt;""),$M$2:$M$401)),""))</f>
        <v/>
      </c>
      <c r="AH344" s="16" t="str">
        <f aca="false">IF(AND(ISNUMBER(M344),ISNUMBER(AG344)),IF(AG344&gt;0,M344/AG344,""),"")</f>
        <v/>
      </c>
      <c r="AI344" s="15" t="str">
        <f aca="false" t="array" ref="AI344:AI344">IF(D344="","",IFERROR(MEDIAN(IF(($D$2:$D$401=D344)*($AF$2:$AF$401&gt;=AF344-5)*($AF$2:$AF$401&lt;=AF344-1)*($N$2:$N$401&lt;&gt;""),$N$2:$N$401)),""))</f>
        <v/>
      </c>
      <c r="AJ344" s="16" t="str">
        <f aca="false">IF(AND(ISNUMBER(N344),ISNUMBER(AI344)),IF(AI344&gt;0,N344/AI344,""),"")</f>
        <v/>
      </c>
      <c r="AK344" s="12" t="str">
        <f aca="false" t="array" ref="AK344:AK344">IF(D344="","",IFERROR(MEDIAN(IF(($D$2:$D$401=D344)*ISNUMBER($R$2:$R$401),$R$2:$R$401)),""))</f>
        <v/>
      </c>
      <c r="AL344" s="17" t="str">
        <f aca="false">IF(ISNUMBER(AJ344),IF(AND(AJ344&gt;=Resumen!$C$5,OR(NOT(ISNUMBER(R344)),NOT(ISNUMBER(AK344)),R344&gt;=AK344)),"Ganador",IF(AJ344&lt;=Resumen!$C$6,"Perdedor","Normal")),IF(ISNUMBER(AH344),IF(AH344&gt;=Resumen!$C$5,"Ganador (7 d, provisional)",IF(AH344&lt;=Resumen!$C$6,"Perdedor (7 d, provisional)","Normal (7 d, provisional)")),""))</f>
        <v/>
      </c>
      <c r="AM344" s="18" t="str">
        <f aca="false">IF(AND(ISNUMBER(Z344),ISNUMBER(N344)),IF(N344&gt;0,Z344/N344*1000,""),"")</f>
        <v/>
      </c>
      <c r="AN344" s="19" t="str">
        <f aca="false">IF(AND(ISNUMBER(U344),ISNUMBER(N344)),IF(N344&gt;0,U344/N344*1000,""),"")</f>
        <v/>
      </c>
    </row>
    <row r="345" customFormat="false" ht="15" hidden="false" customHeight="false" outlineLevel="0" collapsed="false">
      <c r="A345" s="7"/>
      <c r="B345" s="7"/>
      <c r="C345" s="8"/>
      <c r="D345" s="7"/>
      <c r="E345" s="7"/>
      <c r="F345" s="7"/>
      <c r="G345" s="7"/>
      <c r="H345" s="7"/>
      <c r="I345" s="7"/>
      <c r="J345" s="7"/>
      <c r="K345" s="9"/>
      <c r="L345" s="10"/>
      <c r="M345" s="10"/>
      <c r="N345" s="10"/>
      <c r="O345" s="10"/>
      <c r="P345" s="11"/>
      <c r="Q345" s="9"/>
      <c r="R345" s="12" t="str">
        <f aca="false">IF(AND(ISNUMBER(K345),ISNUMBER(Q345),K345&gt;0),Q345/K345,"")</f>
        <v/>
      </c>
      <c r="S345" s="11"/>
      <c r="T345" s="9"/>
      <c r="U345" s="10"/>
      <c r="V345" s="11"/>
      <c r="W345" s="11"/>
      <c r="X345" s="11"/>
      <c r="Y345" s="12" t="str">
        <f aca="false">IF(COUNT(V345:X345)=0,"",MAX(0,1-SUM(V345:X345)))</f>
        <v/>
      </c>
      <c r="Z345" s="13"/>
      <c r="AA345" s="9"/>
      <c r="AB345" s="7"/>
      <c r="AC345" s="7"/>
      <c r="AD345" s="7"/>
      <c r="AE345" s="7"/>
      <c r="AF345" s="14" t="str">
        <f aca="false">IF(D345="","",COUNTIF($D$2:D345,D345))</f>
        <v/>
      </c>
      <c r="AG345" s="15" t="str">
        <f aca="false" t="array" ref="AG345:AG345">IF(D345="","",IFERROR(MEDIAN(IF(($D$2:$D$401=D345)*($AF$2:$AF$401&gt;=AF345-5)*($AF$2:$AF$401&lt;=AF345-1)*($M$2:$M$401&lt;&gt;""),$M$2:$M$401)),""))</f>
        <v/>
      </c>
      <c r="AH345" s="16" t="str">
        <f aca="false">IF(AND(ISNUMBER(M345),ISNUMBER(AG345)),IF(AG345&gt;0,M345/AG345,""),"")</f>
        <v/>
      </c>
      <c r="AI345" s="15" t="str">
        <f aca="false" t="array" ref="AI345:AI345">IF(D345="","",IFERROR(MEDIAN(IF(($D$2:$D$401=D345)*($AF$2:$AF$401&gt;=AF345-5)*($AF$2:$AF$401&lt;=AF345-1)*($N$2:$N$401&lt;&gt;""),$N$2:$N$401)),""))</f>
        <v/>
      </c>
      <c r="AJ345" s="16" t="str">
        <f aca="false">IF(AND(ISNUMBER(N345),ISNUMBER(AI345)),IF(AI345&gt;0,N345/AI345,""),"")</f>
        <v/>
      </c>
      <c r="AK345" s="12" t="str">
        <f aca="false" t="array" ref="AK345:AK345">IF(D345="","",IFERROR(MEDIAN(IF(($D$2:$D$401=D345)*ISNUMBER($R$2:$R$401),$R$2:$R$401)),""))</f>
        <v/>
      </c>
      <c r="AL345" s="17" t="str">
        <f aca="false">IF(ISNUMBER(AJ345),IF(AND(AJ345&gt;=Resumen!$C$5,OR(NOT(ISNUMBER(R345)),NOT(ISNUMBER(AK345)),R345&gt;=AK345)),"Ganador",IF(AJ345&lt;=Resumen!$C$6,"Perdedor","Normal")),IF(ISNUMBER(AH345),IF(AH345&gt;=Resumen!$C$5,"Ganador (7 d, provisional)",IF(AH345&lt;=Resumen!$C$6,"Perdedor (7 d, provisional)","Normal (7 d, provisional)")),""))</f>
        <v/>
      </c>
      <c r="AM345" s="18" t="str">
        <f aca="false">IF(AND(ISNUMBER(Z345),ISNUMBER(N345)),IF(N345&gt;0,Z345/N345*1000,""),"")</f>
        <v/>
      </c>
      <c r="AN345" s="19" t="str">
        <f aca="false">IF(AND(ISNUMBER(U345),ISNUMBER(N345)),IF(N345&gt;0,U345/N345*1000,""),"")</f>
        <v/>
      </c>
    </row>
    <row r="346" customFormat="false" ht="15" hidden="false" customHeight="false" outlineLevel="0" collapsed="false">
      <c r="A346" s="7"/>
      <c r="B346" s="7"/>
      <c r="C346" s="8"/>
      <c r="D346" s="7"/>
      <c r="E346" s="7"/>
      <c r="F346" s="7"/>
      <c r="G346" s="7"/>
      <c r="H346" s="7"/>
      <c r="I346" s="7"/>
      <c r="J346" s="7"/>
      <c r="K346" s="9"/>
      <c r="L346" s="10"/>
      <c r="M346" s="10"/>
      <c r="N346" s="10"/>
      <c r="O346" s="10"/>
      <c r="P346" s="11"/>
      <c r="Q346" s="9"/>
      <c r="R346" s="12" t="str">
        <f aca="false">IF(AND(ISNUMBER(K346),ISNUMBER(Q346),K346&gt;0),Q346/K346,"")</f>
        <v/>
      </c>
      <c r="S346" s="11"/>
      <c r="T346" s="9"/>
      <c r="U346" s="10"/>
      <c r="V346" s="11"/>
      <c r="W346" s="11"/>
      <c r="X346" s="11"/>
      <c r="Y346" s="12" t="str">
        <f aca="false">IF(COUNT(V346:X346)=0,"",MAX(0,1-SUM(V346:X346)))</f>
        <v/>
      </c>
      <c r="Z346" s="13"/>
      <c r="AA346" s="9"/>
      <c r="AB346" s="7"/>
      <c r="AC346" s="7"/>
      <c r="AD346" s="7"/>
      <c r="AE346" s="7"/>
      <c r="AF346" s="14" t="str">
        <f aca="false">IF(D346="","",COUNTIF($D$2:D346,D346))</f>
        <v/>
      </c>
      <c r="AG346" s="15" t="str">
        <f aca="false" t="array" ref="AG346:AG346">IF(D346="","",IFERROR(MEDIAN(IF(($D$2:$D$401=D346)*($AF$2:$AF$401&gt;=AF346-5)*($AF$2:$AF$401&lt;=AF346-1)*($M$2:$M$401&lt;&gt;""),$M$2:$M$401)),""))</f>
        <v/>
      </c>
      <c r="AH346" s="16" t="str">
        <f aca="false">IF(AND(ISNUMBER(M346),ISNUMBER(AG346)),IF(AG346&gt;0,M346/AG346,""),"")</f>
        <v/>
      </c>
      <c r="AI346" s="15" t="str">
        <f aca="false" t="array" ref="AI346:AI346">IF(D346="","",IFERROR(MEDIAN(IF(($D$2:$D$401=D346)*($AF$2:$AF$401&gt;=AF346-5)*($AF$2:$AF$401&lt;=AF346-1)*($N$2:$N$401&lt;&gt;""),$N$2:$N$401)),""))</f>
        <v/>
      </c>
      <c r="AJ346" s="16" t="str">
        <f aca="false">IF(AND(ISNUMBER(N346),ISNUMBER(AI346)),IF(AI346&gt;0,N346/AI346,""),"")</f>
        <v/>
      </c>
      <c r="AK346" s="12" t="str">
        <f aca="false" t="array" ref="AK346:AK346">IF(D346="","",IFERROR(MEDIAN(IF(($D$2:$D$401=D346)*ISNUMBER($R$2:$R$401),$R$2:$R$401)),""))</f>
        <v/>
      </c>
      <c r="AL346" s="17" t="str">
        <f aca="false">IF(ISNUMBER(AJ346),IF(AND(AJ346&gt;=Resumen!$C$5,OR(NOT(ISNUMBER(R346)),NOT(ISNUMBER(AK346)),R346&gt;=AK346)),"Ganador",IF(AJ346&lt;=Resumen!$C$6,"Perdedor","Normal")),IF(ISNUMBER(AH346),IF(AH346&gt;=Resumen!$C$5,"Ganador (7 d, provisional)",IF(AH346&lt;=Resumen!$C$6,"Perdedor (7 d, provisional)","Normal (7 d, provisional)")),""))</f>
        <v/>
      </c>
      <c r="AM346" s="18" t="str">
        <f aca="false">IF(AND(ISNUMBER(Z346),ISNUMBER(N346)),IF(N346&gt;0,Z346/N346*1000,""),"")</f>
        <v/>
      </c>
      <c r="AN346" s="19" t="str">
        <f aca="false">IF(AND(ISNUMBER(U346),ISNUMBER(N346)),IF(N346&gt;0,U346/N346*1000,""),"")</f>
        <v/>
      </c>
    </row>
    <row r="347" customFormat="false" ht="15" hidden="false" customHeight="false" outlineLevel="0" collapsed="false">
      <c r="A347" s="7"/>
      <c r="B347" s="7"/>
      <c r="C347" s="8"/>
      <c r="D347" s="7"/>
      <c r="E347" s="7"/>
      <c r="F347" s="7"/>
      <c r="G347" s="7"/>
      <c r="H347" s="7"/>
      <c r="I347" s="7"/>
      <c r="J347" s="7"/>
      <c r="K347" s="9"/>
      <c r="L347" s="10"/>
      <c r="M347" s="10"/>
      <c r="N347" s="10"/>
      <c r="O347" s="10"/>
      <c r="P347" s="11"/>
      <c r="Q347" s="9"/>
      <c r="R347" s="12" t="str">
        <f aca="false">IF(AND(ISNUMBER(K347),ISNUMBER(Q347),K347&gt;0),Q347/K347,"")</f>
        <v/>
      </c>
      <c r="S347" s="11"/>
      <c r="T347" s="9"/>
      <c r="U347" s="10"/>
      <c r="V347" s="11"/>
      <c r="W347" s="11"/>
      <c r="X347" s="11"/>
      <c r="Y347" s="12" t="str">
        <f aca="false">IF(COUNT(V347:X347)=0,"",MAX(0,1-SUM(V347:X347)))</f>
        <v/>
      </c>
      <c r="Z347" s="13"/>
      <c r="AA347" s="9"/>
      <c r="AB347" s="7"/>
      <c r="AC347" s="7"/>
      <c r="AD347" s="7"/>
      <c r="AE347" s="7"/>
      <c r="AF347" s="14" t="str">
        <f aca="false">IF(D347="","",COUNTIF($D$2:D347,D347))</f>
        <v/>
      </c>
      <c r="AG347" s="15" t="str">
        <f aca="false" t="array" ref="AG347:AG347">IF(D347="","",IFERROR(MEDIAN(IF(($D$2:$D$401=D347)*($AF$2:$AF$401&gt;=AF347-5)*($AF$2:$AF$401&lt;=AF347-1)*($M$2:$M$401&lt;&gt;""),$M$2:$M$401)),""))</f>
        <v/>
      </c>
      <c r="AH347" s="16" t="str">
        <f aca="false">IF(AND(ISNUMBER(M347),ISNUMBER(AG347)),IF(AG347&gt;0,M347/AG347,""),"")</f>
        <v/>
      </c>
      <c r="AI347" s="15" t="str">
        <f aca="false" t="array" ref="AI347:AI347">IF(D347="","",IFERROR(MEDIAN(IF(($D$2:$D$401=D347)*($AF$2:$AF$401&gt;=AF347-5)*($AF$2:$AF$401&lt;=AF347-1)*($N$2:$N$401&lt;&gt;""),$N$2:$N$401)),""))</f>
        <v/>
      </c>
      <c r="AJ347" s="16" t="str">
        <f aca="false">IF(AND(ISNUMBER(N347),ISNUMBER(AI347)),IF(AI347&gt;0,N347/AI347,""),"")</f>
        <v/>
      </c>
      <c r="AK347" s="12" t="str">
        <f aca="false" t="array" ref="AK347:AK347">IF(D347="","",IFERROR(MEDIAN(IF(($D$2:$D$401=D347)*ISNUMBER($R$2:$R$401),$R$2:$R$401)),""))</f>
        <v/>
      </c>
      <c r="AL347" s="17" t="str">
        <f aca="false">IF(ISNUMBER(AJ347),IF(AND(AJ347&gt;=Resumen!$C$5,OR(NOT(ISNUMBER(R347)),NOT(ISNUMBER(AK347)),R347&gt;=AK347)),"Ganador",IF(AJ347&lt;=Resumen!$C$6,"Perdedor","Normal")),IF(ISNUMBER(AH347),IF(AH347&gt;=Resumen!$C$5,"Ganador (7 d, provisional)",IF(AH347&lt;=Resumen!$C$6,"Perdedor (7 d, provisional)","Normal (7 d, provisional)")),""))</f>
        <v/>
      </c>
      <c r="AM347" s="18" t="str">
        <f aca="false">IF(AND(ISNUMBER(Z347),ISNUMBER(N347)),IF(N347&gt;0,Z347/N347*1000,""),"")</f>
        <v/>
      </c>
      <c r="AN347" s="19" t="str">
        <f aca="false">IF(AND(ISNUMBER(U347),ISNUMBER(N347)),IF(N347&gt;0,U347/N347*1000,""),"")</f>
        <v/>
      </c>
    </row>
    <row r="348" customFormat="false" ht="15" hidden="false" customHeight="false" outlineLevel="0" collapsed="false">
      <c r="A348" s="7"/>
      <c r="B348" s="7"/>
      <c r="C348" s="8"/>
      <c r="D348" s="7"/>
      <c r="E348" s="7"/>
      <c r="F348" s="7"/>
      <c r="G348" s="7"/>
      <c r="H348" s="7"/>
      <c r="I348" s="7"/>
      <c r="J348" s="7"/>
      <c r="K348" s="9"/>
      <c r="L348" s="10"/>
      <c r="M348" s="10"/>
      <c r="N348" s="10"/>
      <c r="O348" s="10"/>
      <c r="P348" s="11"/>
      <c r="Q348" s="9"/>
      <c r="R348" s="12" t="str">
        <f aca="false">IF(AND(ISNUMBER(K348),ISNUMBER(Q348),K348&gt;0),Q348/K348,"")</f>
        <v/>
      </c>
      <c r="S348" s="11"/>
      <c r="T348" s="9"/>
      <c r="U348" s="10"/>
      <c r="V348" s="11"/>
      <c r="W348" s="11"/>
      <c r="X348" s="11"/>
      <c r="Y348" s="12" t="str">
        <f aca="false">IF(COUNT(V348:X348)=0,"",MAX(0,1-SUM(V348:X348)))</f>
        <v/>
      </c>
      <c r="Z348" s="13"/>
      <c r="AA348" s="9"/>
      <c r="AB348" s="7"/>
      <c r="AC348" s="7"/>
      <c r="AD348" s="7"/>
      <c r="AE348" s="7"/>
      <c r="AF348" s="14" t="str">
        <f aca="false">IF(D348="","",COUNTIF($D$2:D348,D348))</f>
        <v/>
      </c>
      <c r="AG348" s="15" t="str">
        <f aca="false" t="array" ref="AG348:AG348">IF(D348="","",IFERROR(MEDIAN(IF(($D$2:$D$401=D348)*($AF$2:$AF$401&gt;=AF348-5)*($AF$2:$AF$401&lt;=AF348-1)*($M$2:$M$401&lt;&gt;""),$M$2:$M$401)),""))</f>
        <v/>
      </c>
      <c r="AH348" s="16" t="str">
        <f aca="false">IF(AND(ISNUMBER(M348),ISNUMBER(AG348)),IF(AG348&gt;0,M348/AG348,""),"")</f>
        <v/>
      </c>
      <c r="AI348" s="15" t="str">
        <f aca="false" t="array" ref="AI348:AI348">IF(D348="","",IFERROR(MEDIAN(IF(($D$2:$D$401=D348)*($AF$2:$AF$401&gt;=AF348-5)*($AF$2:$AF$401&lt;=AF348-1)*($N$2:$N$401&lt;&gt;""),$N$2:$N$401)),""))</f>
        <v/>
      </c>
      <c r="AJ348" s="16" t="str">
        <f aca="false">IF(AND(ISNUMBER(N348),ISNUMBER(AI348)),IF(AI348&gt;0,N348/AI348,""),"")</f>
        <v/>
      </c>
      <c r="AK348" s="12" t="str">
        <f aca="false" t="array" ref="AK348:AK348">IF(D348="","",IFERROR(MEDIAN(IF(($D$2:$D$401=D348)*ISNUMBER($R$2:$R$401),$R$2:$R$401)),""))</f>
        <v/>
      </c>
      <c r="AL348" s="17" t="str">
        <f aca="false">IF(ISNUMBER(AJ348),IF(AND(AJ348&gt;=Resumen!$C$5,OR(NOT(ISNUMBER(R348)),NOT(ISNUMBER(AK348)),R348&gt;=AK348)),"Ganador",IF(AJ348&lt;=Resumen!$C$6,"Perdedor","Normal")),IF(ISNUMBER(AH348),IF(AH348&gt;=Resumen!$C$5,"Ganador (7 d, provisional)",IF(AH348&lt;=Resumen!$C$6,"Perdedor (7 d, provisional)","Normal (7 d, provisional)")),""))</f>
        <v/>
      </c>
      <c r="AM348" s="18" t="str">
        <f aca="false">IF(AND(ISNUMBER(Z348),ISNUMBER(N348)),IF(N348&gt;0,Z348/N348*1000,""),"")</f>
        <v/>
      </c>
      <c r="AN348" s="19" t="str">
        <f aca="false">IF(AND(ISNUMBER(U348),ISNUMBER(N348)),IF(N348&gt;0,U348/N348*1000,""),"")</f>
        <v/>
      </c>
    </row>
    <row r="349" customFormat="false" ht="15" hidden="false" customHeight="false" outlineLevel="0" collapsed="false">
      <c r="A349" s="7"/>
      <c r="B349" s="7"/>
      <c r="C349" s="8"/>
      <c r="D349" s="7"/>
      <c r="E349" s="7"/>
      <c r="F349" s="7"/>
      <c r="G349" s="7"/>
      <c r="H349" s="7"/>
      <c r="I349" s="7"/>
      <c r="J349" s="7"/>
      <c r="K349" s="9"/>
      <c r="L349" s="10"/>
      <c r="M349" s="10"/>
      <c r="N349" s="10"/>
      <c r="O349" s="10"/>
      <c r="P349" s="11"/>
      <c r="Q349" s="9"/>
      <c r="R349" s="12" t="str">
        <f aca="false">IF(AND(ISNUMBER(K349),ISNUMBER(Q349),K349&gt;0),Q349/K349,"")</f>
        <v/>
      </c>
      <c r="S349" s="11"/>
      <c r="T349" s="9"/>
      <c r="U349" s="10"/>
      <c r="V349" s="11"/>
      <c r="W349" s="11"/>
      <c r="X349" s="11"/>
      <c r="Y349" s="12" t="str">
        <f aca="false">IF(COUNT(V349:X349)=0,"",MAX(0,1-SUM(V349:X349)))</f>
        <v/>
      </c>
      <c r="Z349" s="13"/>
      <c r="AA349" s="9"/>
      <c r="AB349" s="7"/>
      <c r="AC349" s="7"/>
      <c r="AD349" s="7"/>
      <c r="AE349" s="7"/>
      <c r="AF349" s="14" t="str">
        <f aca="false">IF(D349="","",COUNTIF($D$2:D349,D349))</f>
        <v/>
      </c>
      <c r="AG349" s="15" t="str">
        <f aca="false" t="array" ref="AG349:AG349">IF(D349="","",IFERROR(MEDIAN(IF(($D$2:$D$401=D349)*($AF$2:$AF$401&gt;=AF349-5)*($AF$2:$AF$401&lt;=AF349-1)*($M$2:$M$401&lt;&gt;""),$M$2:$M$401)),""))</f>
        <v/>
      </c>
      <c r="AH349" s="16" t="str">
        <f aca="false">IF(AND(ISNUMBER(M349),ISNUMBER(AG349)),IF(AG349&gt;0,M349/AG349,""),"")</f>
        <v/>
      </c>
      <c r="AI349" s="15" t="str">
        <f aca="false" t="array" ref="AI349:AI349">IF(D349="","",IFERROR(MEDIAN(IF(($D$2:$D$401=D349)*($AF$2:$AF$401&gt;=AF349-5)*($AF$2:$AF$401&lt;=AF349-1)*($N$2:$N$401&lt;&gt;""),$N$2:$N$401)),""))</f>
        <v/>
      </c>
      <c r="AJ349" s="16" t="str">
        <f aca="false">IF(AND(ISNUMBER(N349),ISNUMBER(AI349)),IF(AI349&gt;0,N349/AI349,""),"")</f>
        <v/>
      </c>
      <c r="AK349" s="12" t="str">
        <f aca="false" t="array" ref="AK349:AK349">IF(D349="","",IFERROR(MEDIAN(IF(($D$2:$D$401=D349)*ISNUMBER($R$2:$R$401),$R$2:$R$401)),""))</f>
        <v/>
      </c>
      <c r="AL349" s="17" t="str">
        <f aca="false">IF(ISNUMBER(AJ349),IF(AND(AJ349&gt;=Resumen!$C$5,OR(NOT(ISNUMBER(R349)),NOT(ISNUMBER(AK349)),R349&gt;=AK349)),"Ganador",IF(AJ349&lt;=Resumen!$C$6,"Perdedor","Normal")),IF(ISNUMBER(AH349),IF(AH349&gt;=Resumen!$C$5,"Ganador (7 d, provisional)",IF(AH349&lt;=Resumen!$C$6,"Perdedor (7 d, provisional)","Normal (7 d, provisional)")),""))</f>
        <v/>
      </c>
      <c r="AM349" s="18" t="str">
        <f aca="false">IF(AND(ISNUMBER(Z349),ISNUMBER(N349)),IF(N349&gt;0,Z349/N349*1000,""),"")</f>
        <v/>
      </c>
      <c r="AN349" s="19" t="str">
        <f aca="false">IF(AND(ISNUMBER(U349),ISNUMBER(N349)),IF(N349&gt;0,U349/N349*1000,""),"")</f>
        <v/>
      </c>
    </row>
    <row r="350" customFormat="false" ht="15" hidden="false" customHeight="false" outlineLevel="0" collapsed="false">
      <c r="A350" s="7"/>
      <c r="B350" s="7"/>
      <c r="C350" s="8"/>
      <c r="D350" s="7"/>
      <c r="E350" s="7"/>
      <c r="F350" s="7"/>
      <c r="G350" s="7"/>
      <c r="H350" s="7"/>
      <c r="I350" s="7"/>
      <c r="J350" s="7"/>
      <c r="K350" s="9"/>
      <c r="L350" s="10"/>
      <c r="M350" s="10"/>
      <c r="N350" s="10"/>
      <c r="O350" s="10"/>
      <c r="P350" s="11"/>
      <c r="Q350" s="9"/>
      <c r="R350" s="12" t="str">
        <f aca="false">IF(AND(ISNUMBER(K350),ISNUMBER(Q350),K350&gt;0),Q350/K350,"")</f>
        <v/>
      </c>
      <c r="S350" s="11"/>
      <c r="T350" s="9"/>
      <c r="U350" s="10"/>
      <c r="V350" s="11"/>
      <c r="W350" s="11"/>
      <c r="X350" s="11"/>
      <c r="Y350" s="12" t="str">
        <f aca="false">IF(COUNT(V350:X350)=0,"",MAX(0,1-SUM(V350:X350)))</f>
        <v/>
      </c>
      <c r="Z350" s="13"/>
      <c r="AA350" s="9"/>
      <c r="AB350" s="7"/>
      <c r="AC350" s="7"/>
      <c r="AD350" s="7"/>
      <c r="AE350" s="7"/>
      <c r="AF350" s="14" t="str">
        <f aca="false">IF(D350="","",COUNTIF($D$2:D350,D350))</f>
        <v/>
      </c>
      <c r="AG350" s="15" t="str">
        <f aca="false" t="array" ref="AG350:AG350">IF(D350="","",IFERROR(MEDIAN(IF(($D$2:$D$401=D350)*($AF$2:$AF$401&gt;=AF350-5)*($AF$2:$AF$401&lt;=AF350-1)*($M$2:$M$401&lt;&gt;""),$M$2:$M$401)),""))</f>
        <v/>
      </c>
      <c r="AH350" s="16" t="str">
        <f aca="false">IF(AND(ISNUMBER(M350),ISNUMBER(AG350)),IF(AG350&gt;0,M350/AG350,""),"")</f>
        <v/>
      </c>
      <c r="AI350" s="15" t="str">
        <f aca="false" t="array" ref="AI350:AI350">IF(D350="","",IFERROR(MEDIAN(IF(($D$2:$D$401=D350)*($AF$2:$AF$401&gt;=AF350-5)*($AF$2:$AF$401&lt;=AF350-1)*($N$2:$N$401&lt;&gt;""),$N$2:$N$401)),""))</f>
        <v/>
      </c>
      <c r="AJ350" s="16" t="str">
        <f aca="false">IF(AND(ISNUMBER(N350),ISNUMBER(AI350)),IF(AI350&gt;0,N350/AI350,""),"")</f>
        <v/>
      </c>
      <c r="AK350" s="12" t="str">
        <f aca="false" t="array" ref="AK350:AK350">IF(D350="","",IFERROR(MEDIAN(IF(($D$2:$D$401=D350)*ISNUMBER($R$2:$R$401),$R$2:$R$401)),""))</f>
        <v/>
      </c>
      <c r="AL350" s="17" t="str">
        <f aca="false">IF(ISNUMBER(AJ350),IF(AND(AJ350&gt;=Resumen!$C$5,OR(NOT(ISNUMBER(R350)),NOT(ISNUMBER(AK350)),R350&gt;=AK350)),"Ganador",IF(AJ350&lt;=Resumen!$C$6,"Perdedor","Normal")),IF(ISNUMBER(AH350),IF(AH350&gt;=Resumen!$C$5,"Ganador (7 d, provisional)",IF(AH350&lt;=Resumen!$C$6,"Perdedor (7 d, provisional)","Normal (7 d, provisional)")),""))</f>
        <v/>
      </c>
      <c r="AM350" s="18" t="str">
        <f aca="false">IF(AND(ISNUMBER(Z350),ISNUMBER(N350)),IF(N350&gt;0,Z350/N350*1000,""),"")</f>
        <v/>
      </c>
      <c r="AN350" s="19" t="str">
        <f aca="false">IF(AND(ISNUMBER(U350),ISNUMBER(N350)),IF(N350&gt;0,U350/N350*1000,""),"")</f>
        <v/>
      </c>
    </row>
    <row r="351" customFormat="false" ht="15" hidden="false" customHeight="false" outlineLevel="0" collapsed="false">
      <c r="A351" s="7"/>
      <c r="B351" s="7"/>
      <c r="C351" s="8"/>
      <c r="D351" s="7"/>
      <c r="E351" s="7"/>
      <c r="F351" s="7"/>
      <c r="G351" s="7"/>
      <c r="H351" s="7"/>
      <c r="I351" s="7"/>
      <c r="J351" s="7"/>
      <c r="K351" s="9"/>
      <c r="L351" s="10"/>
      <c r="M351" s="10"/>
      <c r="N351" s="10"/>
      <c r="O351" s="10"/>
      <c r="P351" s="11"/>
      <c r="Q351" s="9"/>
      <c r="R351" s="12" t="str">
        <f aca="false">IF(AND(ISNUMBER(K351),ISNUMBER(Q351),K351&gt;0),Q351/K351,"")</f>
        <v/>
      </c>
      <c r="S351" s="11"/>
      <c r="T351" s="9"/>
      <c r="U351" s="10"/>
      <c r="V351" s="11"/>
      <c r="W351" s="11"/>
      <c r="X351" s="11"/>
      <c r="Y351" s="12" t="str">
        <f aca="false">IF(COUNT(V351:X351)=0,"",MAX(0,1-SUM(V351:X351)))</f>
        <v/>
      </c>
      <c r="Z351" s="13"/>
      <c r="AA351" s="9"/>
      <c r="AB351" s="7"/>
      <c r="AC351" s="7"/>
      <c r="AD351" s="7"/>
      <c r="AE351" s="7"/>
      <c r="AF351" s="14" t="str">
        <f aca="false">IF(D351="","",COUNTIF($D$2:D351,D351))</f>
        <v/>
      </c>
      <c r="AG351" s="15" t="str">
        <f aca="false" t="array" ref="AG351:AG351">IF(D351="","",IFERROR(MEDIAN(IF(($D$2:$D$401=D351)*($AF$2:$AF$401&gt;=AF351-5)*($AF$2:$AF$401&lt;=AF351-1)*($M$2:$M$401&lt;&gt;""),$M$2:$M$401)),""))</f>
        <v/>
      </c>
      <c r="AH351" s="16" t="str">
        <f aca="false">IF(AND(ISNUMBER(M351),ISNUMBER(AG351)),IF(AG351&gt;0,M351/AG351,""),"")</f>
        <v/>
      </c>
      <c r="AI351" s="15" t="str">
        <f aca="false" t="array" ref="AI351:AI351">IF(D351="","",IFERROR(MEDIAN(IF(($D$2:$D$401=D351)*($AF$2:$AF$401&gt;=AF351-5)*($AF$2:$AF$401&lt;=AF351-1)*($N$2:$N$401&lt;&gt;""),$N$2:$N$401)),""))</f>
        <v/>
      </c>
      <c r="AJ351" s="16" t="str">
        <f aca="false">IF(AND(ISNUMBER(N351),ISNUMBER(AI351)),IF(AI351&gt;0,N351/AI351,""),"")</f>
        <v/>
      </c>
      <c r="AK351" s="12" t="str">
        <f aca="false" t="array" ref="AK351:AK351">IF(D351="","",IFERROR(MEDIAN(IF(($D$2:$D$401=D351)*ISNUMBER($R$2:$R$401),$R$2:$R$401)),""))</f>
        <v/>
      </c>
      <c r="AL351" s="17" t="str">
        <f aca="false">IF(ISNUMBER(AJ351),IF(AND(AJ351&gt;=Resumen!$C$5,OR(NOT(ISNUMBER(R351)),NOT(ISNUMBER(AK351)),R351&gt;=AK351)),"Ganador",IF(AJ351&lt;=Resumen!$C$6,"Perdedor","Normal")),IF(ISNUMBER(AH351),IF(AH351&gt;=Resumen!$C$5,"Ganador (7 d, provisional)",IF(AH351&lt;=Resumen!$C$6,"Perdedor (7 d, provisional)","Normal (7 d, provisional)")),""))</f>
        <v/>
      </c>
      <c r="AM351" s="18" t="str">
        <f aca="false">IF(AND(ISNUMBER(Z351),ISNUMBER(N351)),IF(N351&gt;0,Z351/N351*1000,""),"")</f>
        <v/>
      </c>
      <c r="AN351" s="19" t="str">
        <f aca="false">IF(AND(ISNUMBER(U351),ISNUMBER(N351)),IF(N351&gt;0,U351/N351*1000,""),"")</f>
        <v/>
      </c>
    </row>
    <row r="352" customFormat="false" ht="15" hidden="false" customHeight="false" outlineLevel="0" collapsed="false">
      <c r="A352" s="7"/>
      <c r="B352" s="7"/>
      <c r="C352" s="8"/>
      <c r="D352" s="7"/>
      <c r="E352" s="7"/>
      <c r="F352" s="7"/>
      <c r="G352" s="7"/>
      <c r="H352" s="7"/>
      <c r="I352" s="7"/>
      <c r="J352" s="7"/>
      <c r="K352" s="9"/>
      <c r="L352" s="10"/>
      <c r="M352" s="10"/>
      <c r="N352" s="10"/>
      <c r="O352" s="10"/>
      <c r="P352" s="11"/>
      <c r="Q352" s="9"/>
      <c r="R352" s="12" t="str">
        <f aca="false">IF(AND(ISNUMBER(K352),ISNUMBER(Q352),K352&gt;0),Q352/K352,"")</f>
        <v/>
      </c>
      <c r="S352" s="11"/>
      <c r="T352" s="9"/>
      <c r="U352" s="10"/>
      <c r="V352" s="11"/>
      <c r="W352" s="11"/>
      <c r="X352" s="11"/>
      <c r="Y352" s="12" t="str">
        <f aca="false">IF(COUNT(V352:X352)=0,"",MAX(0,1-SUM(V352:X352)))</f>
        <v/>
      </c>
      <c r="Z352" s="13"/>
      <c r="AA352" s="9"/>
      <c r="AB352" s="7"/>
      <c r="AC352" s="7"/>
      <c r="AD352" s="7"/>
      <c r="AE352" s="7"/>
      <c r="AF352" s="14" t="str">
        <f aca="false">IF(D352="","",COUNTIF($D$2:D352,D352))</f>
        <v/>
      </c>
      <c r="AG352" s="15" t="str">
        <f aca="false" t="array" ref="AG352:AG352">IF(D352="","",IFERROR(MEDIAN(IF(($D$2:$D$401=D352)*($AF$2:$AF$401&gt;=AF352-5)*($AF$2:$AF$401&lt;=AF352-1)*($M$2:$M$401&lt;&gt;""),$M$2:$M$401)),""))</f>
        <v/>
      </c>
      <c r="AH352" s="16" t="str">
        <f aca="false">IF(AND(ISNUMBER(M352),ISNUMBER(AG352)),IF(AG352&gt;0,M352/AG352,""),"")</f>
        <v/>
      </c>
      <c r="AI352" s="15" t="str">
        <f aca="false" t="array" ref="AI352:AI352">IF(D352="","",IFERROR(MEDIAN(IF(($D$2:$D$401=D352)*($AF$2:$AF$401&gt;=AF352-5)*($AF$2:$AF$401&lt;=AF352-1)*($N$2:$N$401&lt;&gt;""),$N$2:$N$401)),""))</f>
        <v/>
      </c>
      <c r="AJ352" s="16" t="str">
        <f aca="false">IF(AND(ISNUMBER(N352),ISNUMBER(AI352)),IF(AI352&gt;0,N352/AI352,""),"")</f>
        <v/>
      </c>
      <c r="AK352" s="12" t="str">
        <f aca="false" t="array" ref="AK352:AK352">IF(D352="","",IFERROR(MEDIAN(IF(($D$2:$D$401=D352)*ISNUMBER($R$2:$R$401),$R$2:$R$401)),""))</f>
        <v/>
      </c>
      <c r="AL352" s="17" t="str">
        <f aca="false">IF(ISNUMBER(AJ352),IF(AND(AJ352&gt;=Resumen!$C$5,OR(NOT(ISNUMBER(R352)),NOT(ISNUMBER(AK352)),R352&gt;=AK352)),"Ganador",IF(AJ352&lt;=Resumen!$C$6,"Perdedor","Normal")),IF(ISNUMBER(AH352),IF(AH352&gt;=Resumen!$C$5,"Ganador (7 d, provisional)",IF(AH352&lt;=Resumen!$C$6,"Perdedor (7 d, provisional)","Normal (7 d, provisional)")),""))</f>
        <v/>
      </c>
      <c r="AM352" s="18" t="str">
        <f aca="false">IF(AND(ISNUMBER(Z352),ISNUMBER(N352)),IF(N352&gt;0,Z352/N352*1000,""),"")</f>
        <v/>
      </c>
      <c r="AN352" s="19" t="str">
        <f aca="false">IF(AND(ISNUMBER(U352),ISNUMBER(N352)),IF(N352&gt;0,U352/N352*1000,""),"")</f>
        <v/>
      </c>
    </row>
    <row r="353" customFormat="false" ht="15" hidden="false" customHeight="false" outlineLevel="0" collapsed="false">
      <c r="A353" s="7"/>
      <c r="B353" s="7"/>
      <c r="C353" s="8"/>
      <c r="D353" s="7"/>
      <c r="E353" s="7"/>
      <c r="F353" s="7"/>
      <c r="G353" s="7"/>
      <c r="H353" s="7"/>
      <c r="I353" s="7"/>
      <c r="J353" s="7"/>
      <c r="K353" s="9"/>
      <c r="L353" s="10"/>
      <c r="M353" s="10"/>
      <c r="N353" s="10"/>
      <c r="O353" s="10"/>
      <c r="P353" s="11"/>
      <c r="Q353" s="9"/>
      <c r="R353" s="12" t="str">
        <f aca="false">IF(AND(ISNUMBER(K353),ISNUMBER(Q353),K353&gt;0),Q353/K353,"")</f>
        <v/>
      </c>
      <c r="S353" s="11"/>
      <c r="T353" s="9"/>
      <c r="U353" s="10"/>
      <c r="V353" s="11"/>
      <c r="W353" s="11"/>
      <c r="X353" s="11"/>
      <c r="Y353" s="12" t="str">
        <f aca="false">IF(COUNT(V353:X353)=0,"",MAX(0,1-SUM(V353:X353)))</f>
        <v/>
      </c>
      <c r="Z353" s="13"/>
      <c r="AA353" s="9"/>
      <c r="AB353" s="7"/>
      <c r="AC353" s="7"/>
      <c r="AD353" s="7"/>
      <c r="AE353" s="7"/>
      <c r="AF353" s="14" t="str">
        <f aca="false">IF(D353="","",COUNTIF($D$2:D353,D353))</f>
        <v/>
      </c>
      <c r="AG353" s="15" t="str">
        <f aca="false" t="array" ref="AG353:AG353">IF(D353="","",IFERROR(MEDIAN(IF(($D$2:$D$401=D353)*($AF$2:$AF$401&gt;=AF353-5)*($AF$2:$AF$401&lt;=AF353-1)*($M$2:$M$401&lt;&gt;""),$M$2:$M$401)),""))</f>
        <v/>
      </c>
      <c r="AH353" s="16" t="str">
        <f aca="false">IF(AND(ISNUMBER(M353),ISNUMBER(AG353)),IF(AG353&gt;0,M353/AG353,""),"")</f>
        <v/>
      </c>
      <c r="AI353" s="15" t="str">
        <f aca="false" t="array" ref="AI353:AI353">IF(D353="","",IFERROR(MEDIAN(IF(($D$2:$D$401=D353)*($AF$2:$AF$401&gt;=AF353-5)*($AF$2:$AF$401&lt;=AF353-1)*($N$2:$N$401&lt;&gt;""),$N$2:$N$401)),""))</f>
        <v/>
      </c>
      <c r="AJ353" s="16" t="str">
        <f aca="false">IF(AND(ISNUMBER(N353),ISNUMBER(AI353)),IF(AI353&gt;0,N353/AI353,""),"")</f>
        <v/>
      </c>
      <c r="AK353" s="12" t="str">
        <f aca="false" t="array" ref="AK353:AK353">IF(D353="","",IFERROR(MEDIAN(IF(($D$2:$D$401=D353)*ISNUMBER($R$2:$R$401),$R$2:$R$401)),""))</f>
        <v/>
      </c>
      <c r="AL353" s="17" t="str">
        <f aca="false">IF(ISNUMBER(AJ353),IF(AND(AJ353&gt;=Resumen!$C$5,OR(NOT(ISNUMBER(R353)),NOT(ISNUMBER(AK353)),R353&gt;=AK353)),"Ganador",IF(AJ353&lt;=Resumen!$C$6,"Perdedor","Normal")),IF(ISNUMBER(AH353),IF(AH353&gt;=Resumen!$C$5,"Ganador (7 d, provisional)",IF(AH353&lt;=Resumen!$C$6,"Perdedor (7 d, provisional)","Normal (7 d, provisional)")),""))</f>
        <v/>
      </c>
      <c r="AM353" s="18" t="str">
        <f aca="false">IF(AND(ISNUMBER(Z353),ISNUMBER(N353)),IF(N353&gt;0,Z353/N353*1000,""),"")</f>
        <v/>
      </c>
      <c r="AN353" s="19" t="str">
        <f aca="false">IF(AND(ISNUMBER(U353),ISNUMBER(N353)),IF(N353&gt;0,U353/N353*1000,""),"")</f>
        <v/>
      </c>
    </row>
    <row r="354" customFormat="false" ht="15" hidden="false" customHeight="false" outlineLevel="0" collapsed="false">
      <c r="A354" s="7"/>
      <c r="B354" s="7"/>
      <c r="C354" s="8"/>
      <c r="D354" s="7"/>
      <c r="E354" s="7"/>
      <c r="F354" s="7"/>
      <c r="G354" s="7"/>
      <c r="H354" s="7"/>
      <c r="I354" s="7"/>
      <c r="J354" s="7"/>
      <c r="K354" s="9"/>
      <c r="L354" s="10"/>
      <c r="M354" s="10"/>
      <c r="N354" s="10"/>
      <c r="O354" s="10"/>
      <c r="P354" s="11"/>
      <c r="Q354" s="9"/>
      <c r="R354" s="12" t="str">
        <f aca="false">IF(AND(ISNUMBER(K354),ISNUMBER(Q354),K354&gt;0),Q354/K354,"")</f>
        <v/>
      </c>
      <c r="S354" s="11"/>
      <c r="T354" s="9"/>
      <c r="U354" s="10"/>
      <c r="V354" s="11"/>
      <c r="W354" s="11"/>
      <c r="X354" s="11"/>
      <c r="Y354" s="12" t="str">
        <f aca="false">IF(COUNT(V354:X354)=0,"",MAX(0,1-SUM(V354:X354)))</f>
        <v/>
      </c>
      <c r="Z354" s="13"/>
      <c r="AA354" s="9"/>
      <c r="AB354" s="7"/>
      <c r="AC354" s="7"/>
      <c r="AD354" s="7"/>
      <c r="AE354" s="7"/>
      <c r="AF354" s="14" t="str">
        <f aca="false">IF(D354="","",COUNTIF($D$2:D354,D354))</f>
        <v/>
      </c>
      <c r="AG354" s="15" t="str">
        <f aca="false" t="array" ref="AG354:AG354">IF(D354="","",IFERROR(MEDIAN(IF(($D$2:$D$401=D354)*($AF$2:$AF$401&gt;=AF354-5)*($AF$2:$AF$401&lt;=AF354-1)*($M$2:$M$401&lt;&gt;""),$M$2:$M$401)),""))</f>
        <v/>
      </c>
      <c r="AH354" s="16" t="str">
        <f aca="false">IF(AND(ISNUMBER(M354),ISNUMBER(AG354)),IF(AG354&gt;0,M354/AG354,""),"")</f>
        <v/>
      </c>
      <c r="AI354" s="15" t="str">
        <f aca="false" t="array" ref="AI354:AI354">IF(D354="","",IFERROR(MEDIAN(IF(($D$2:$D$401=D354)*($AF$2:$AF$401&gt;=AF354-5)*($AF$2:$AF$401&lt;=AF354-1)*($N$2:$N$401&lt;&gt;""),$N$2:$N$401)),""))</f>
        <v/>
      </c>
      <c r="AJ354" s="16" t="str">
        <f aca="false">IF(AND(ISNUMBER(N354),ISNUMBER(AI354)),IF(AI354&gt;0,N354/AI354,""),"")</f>
        <v/>
      </c>
      <c r="AK354" s="12" t="str">
        <f aca="false" t="array" ref="AK354:AK354">IF(D354="","",IFERROR(MEDIAN(IF(($D$2:$D$401=D354)*ISNUMBER($R$2:$R$401),$R$2:$R$401)),""))</f>
        <v/>
      </c>
      <c r="AL354" s="17" t="str">
        <f aca="false">IF(ISNUMBER(AJ354),IF(AND(AJ354&gt;=Resumen!$C$5,OR(NOT(ISNUMBER(R354)),NOT(ISNUMBER(AK354)),R354&gt;=AK354)),"Ganador",IF(AJ354&lt;=Resumen!$C$6,"Perdedor","Normal")),IF(ISNUMBER(AH354),IF(AH354&gt;=Resumen!$C$5,"Ganador (7 d, provisional)",IF(AH354&lt;=Resumen!$C$6,"Perdedor (7 d, provisional)","Normal (7 d, provisional)")),""))</f>
        <v/>
      </c>
      <c r="AM354" s="18" t="str">
        <f aca="false">IF(AND(ISNUMBER(Z354),ISNUMBER(N354)),IF(N354&gt;0,Z354/N354*1000,""),"")</f>
        <v/>
      </c>
      <c r="AN354" s="19" t="str">
        <f aca="false">IF(AND(ISNUMBER(U354),ISNUMBER(N354)),IF(N354&gt;0,U354/N354*1000,""),"")</f>
        <v/>
      </c>
    </row>
    <row r="355" customFormat="false" ht="15" hidden="false" customHeight="false" outlineLevel="0" collapsed="false">
      <c r="A355" s="7"/>
      <c r="B355" s="7"/>
      <c r="C355" s="8"/>
      <c r="D355" s="7"/>
      <c r="E355" s="7"/>
      <c r="F355" s="7"/>
      <c r="G355" s="7"/>
      <c r="H355" s="7"/>
      <c r="I355" s="7"/>
      <c r="J355" s="7"/>
      <c r="K355" s="9"/>
      <c r="L355" s="10"/>
      <c r="M355" s="10"/>
      <c r="N355" s="10"/>
      <c r="O355" s="10"/>
      <c r="P355" s="11"/>
      <c r="Q355" s="9"/>
      <c r="R355" s="12" t="str">
        <f aca="false">IF(AND(ISNUMBER(K355),ISNUMBER(Q355),K355&gt;0),Q355/K355,"")</f>
        <v/>
      </c>
      <c r="S355" s="11"/>
      <c r="T355" s="9"/>
      <c r="U355" s="10"/>
      <c r="V355" s="11"/>
      <c r="W355" s="11"/>
      <c r="X355" s="11"/>
      <c r="Y355" s="12" t="str">
        <f aca="false">IF(COUNT(V355:X355)=0,"",MAX(0,1-SUM(V355:X355)))</f>
        <v/>
      </c>
      <c r="Z355" s="13"/>
      <c r="AA355" s="9"/>
      <c r="AB355" s="7"/>
      <c r="AC355" s="7"/>
      <c r="AD355" s="7"/>
      <c r="AE355" s="7"/>
      <c r="AF355" s="14" t="str">
        <f aca="false">IF(D355="","",COUNTIF($D$2:D355,D355))</f>
        <v/>
      </c>
      <c r="AG355" s="15" t="str">
        <f aca="false" t="array" ref="AG355:AG355">IF(D355="","",IFERROR(MEDIAN(IF(($D$2:$D$401=D355)*($AF$2:$AF$401&gt;=AF355-5)*($AF$2:$AF$401&lt;=AF355-1)*($M$2:$M$401&lt;&gt;""),$M$2:$M$401)),""))</f>
        <v/>
      </c>
      <c r="AH355" s="16" t="str">
        <f aca="false">IF(AND(ISNUMBER(M355),ISNUMBER(AG355)),IF(AG355&gt;0,M355/AG355,""),"")</f>
        <v/>
      </c>
      <c r="AI355" s="15" t="str">
        <f aca="false" t="array" ref="AI355:AI355">IF(D355="","",IFERROR(MEDIAN(IF(($D$2:$D$401=D355)*($AF$2:$AF$401&gt;=AF355-5)*($AF$2:$AF$401&lt;=AF355-1)*($N$2:$N$401&lt;&gt;""),$N$2:$N$401)),""))</f>
        <v/>
      </c>
      <c r="AJ355" s="16" t="str">
        <f aca="false">IF(AND(ISNUMBER(N355),ISNUMBER(AI355)),IF(AI355&gt;0,N355/AI355,""),"")</f>
        <v/>
      </c>
      <c r="AK355" s="12" t="str">
        <f aca="false" t="array" ref="AK355:AK355">IF(D355="","",IFERROR(MEDIAN(IF(($D$2:$D$401=D355)*ISNUMBER($R$2:$R$401),$R$2:$R$401)),""))</f>
        <v/>
      </c>
      <c r="AL355" s="17" t="str">
        <f aca="false">IF(ISNUMBER(AJ355),IF(AND(AJ355&gt;=Resumen!$C$5,OR(NOT(ISNUMBER(R355)),NOT(ISNUMBER(AK355)),R355&gt;=AK355)),"Ganador",IF(AJ355&lt;=Resumen!$C$6,"Perdedor","Normal")),IF(ISNUMBER(AH355),IF(AH355&gt;=Resumen!$C$5,"Ganador (7 d, provisional)",IF(AH355&lt;=Resumen!$C$6,"Perdedor (7 d, provisional)","Normal (7 d, provisional)")),""))</f>
        <v/>
      </c>
      <c r="AM355" s="18" t="str">
        <f aca="false">IF(AND(ISNUMBER(Z355),ISNUMBER(N355)),IF(N355&gt;0,Z355/N355*1000,""),"")</f>
        <v/>
      </c>
      <c r="AN355" s="19" t="str">
        <f aca="false">IF(AND(ISNUMBER(U355),ISNUMBER(N355)),IF(N355&gt;0,U355/N355*1000,""),"")</f>
        <v/>
      </c>
    </row>
    <row r="356" customFormat="false" ht="15" hidden="false" customHeight="false" outlineLevel="0" collapsed="false">
      <c r="A356" s="7"/>
      <c r="B356" s="7"/>
      <c r="C356" s="8"/>
      <c r="D356" s="7"/>
      <c r="E356" s="7"/>
      <c r="F356" s="7"/>
      <c r="G356" s="7"/>
      <c r="H356" s="7"/>
      <c r="I356" s="7"/>
      <c r="J356" s="7"/>
      <c r="K356" s="9"/>
      <c r="L356" s="10"/>
      <c r="M356" s="10"/>
      <c r="N356" s="10"/>
      <c r="O356" s="10"/>
      <c r="P356" s="11"/>
      <c r="Q356" s="9"/>
      <c r="R356" s="12" t="str">
        <f aca="false">IF(AND(ISNUMBER(K356),ISNUMBER(Q356),K356&gt;0),Q356/K356,"")</f>
        <v/>
      </c>
      <c r="S356" s="11"/>
      <c r="T356" s="9"/>
      <c r="U356" s="10"/>
      <c r="V356" s="11"/>
      <c r="W356" s="11"/>
      <c r="X356" s="11"/>
      <c r="Y356" s="12" t="str">
        <f aca="false">IF(COUNT(V356:X356)=0,"",MAX(0,1-SUM(V356:X356)))</f>
        <v/>
      </c>
      <c r="Z356" s="13"/>
      <c r="AA356" s="9"/>
      <c r="AB356" s="7"/>
      <c r="AC356" s="7"/>
      <c r="AD356" s="7"/>
      <c r="AE356" s="7"/>
      <c r="AF356" s="14" t="str">
        <f aca="false">IF(D356="","",COUNTIF($D$2:D356,D356))</f>
        <v/>
      </c>
      <c r="AG356" s="15" t="str">
        <f aca="false" t="array" ref="AG356:AG356">IF(D356="","",IFERROR(MEDIAN(IF(($D$2:$D$401=D356)*($AF$2:$AF$401&gt;=AF356-5)*($AF$2:$AF$401&lt;=AF356-1)*($M$2:$M$401&lt;&gt;""),$M$2:$M$401)),""))</f>
        <v/>
      </c>
      <c r="AH356" s="16" t="str">
        <f aca="false">IF(AND(ISNUMBER(M356),ISNUMBER(AG356)),IF(AG356&gt;0,M356/AG356,""),"")</f>
        <v/>
      </c>
      <c r="AI356" s="15" t="str">
        <f aca="false" t="array" ref="AI356:AI356">IF(D356="","",IFERROR(MEDIAN(IF(($D$2:$D$401=D356)*($AF$2:$AF$401&gt;=AF356-5)*($AF$2:$AF$401&lt;=AF356-1)*($N$2:$N$401&lt;&gt;""),$N$2:$N$401)),""))</f>
        <v/>
      </c>
      <c r="AJ356" s="16" t="str">
        <f aca="false">IF(AND(ISNUMBER(N356),ISNUMBER(AI356)),IF(AI356&gt;0,N356/AI356,""),"")</f>
        <v/>
      </c>
      <c r="AK356" s="12" t="str">
        <f aca="false" t="array" ref="AK356:AK356">IF(D356="","",IFERROR(MEDIAN(IF(($D$2:$D$401=D356)*ISNUMBER($R$2:$R$401),$R$2:$R$401)),""))</f>
        <v/>
      </c>
      <c r="AL356" s="17" t="str">
        <f aca="false">IF(ISNUMBER(AJ356),IF(AND(AJ356&gt;=Resumen!$C$5,OR(NOT(ISNUMBER(R356)),NOT(ISNUMBER(AK356)),R356&gt;=AK356)),"Ganador",IF(AJ356&lt;=Resumen!$C$6,"Perdedor","Normal")),IF(ISNUMBER(AH356),IF(AH356&gt;=Resumen!$C$5,"Ganador (7 d, provisional)",IF(AH356&lt;=Resumen!$C$6,"Perdedor (7 d, provisional)","Normal (7 d, provisional)")),""))</f>
        <v/>
      </c>
      <c r="AM356" s="18" t="str">
        <f aca="false">IF(AND(ISNUMBER(Z356),ISNUMBER(N356)),IF(N356&gt;0,Z356/N356*1000,""),"")</f>
        <v/>
      </c>
      <c r="AN356" s="19" t="str">
        <f aca="false">IF(AND(ISNUMBER(U356),ISNUMBER(N356)),IF(N356&gt;0,U356/N356*1000,""),"")</f>
        <v/>
      </c>
    </row>
    <row r="357" customFormat="false" ht="15" hidden="false" customHeight="false" outlineLevel="0" collapsed="false">
      <c r="A357" s="7"/>
      <c r="B357" s="7"/>
      <c r="C357" s="8"/>
      <c r="D357" s="7"/>
      <c r="E357" s="7"/>
      <c r="F357" s="7"/>
      <c r="G357" s="7"/>
      <c r="H357" s="7"/>
      <c r="I357" s="7"/>
      <c r="J357" s="7"/>
      <c r="K357" s="9"/>
      <c r="L357" s="10"/>
      <c r="M357" s="10"/>
      <c r="N357" s="10"/>
      <c r="O357" s="10"/>
      <c r="P357" s="11"/>
      <c r="Q357" s="9"/>
      <c r="R357" s="12" t="str">
        <f aca="false">IF(AND(ISNUMBER(K357),ISNUMBER(Q357),K357&gt;0),Q357/K357,"")</f>
        <v/>
      </c>
      <c r="S357" s="11"/>
      <c r="T357" s="9"/>
      <c r="U357" s="10"/>
      <c r="V357" s="11"/>
      <c r="W357" s="11"/>
      <c r="X357" s="11"/>
      <c r="Y357" s="12" t="str">
        <f aca="false">IF(COUNT(V357:X357)=0,"",MAX(0,1-SUM(V357:X357)))</f>
        <v/>
      </c>
      <c r="Z357" s="13"/>
      <c r="AA357" s="9"/>
      <c r="AB357" s="7"/>
      <c r="AC357" s="7"/>
      <c r="AD357" s="7"/>
      <c r="AE357" s="7"/>
      <c r="AF357" s="14" t="str">
        <f aca="false">IF(D357="","",COUNTIF($D$2:D357,D357))</f>
        <v/>
      </c>
      <c r="AG357" s="15" t="str">
        <f aca="false" t="array" ref="AG357:AG357">IF(D357="","",IFERROR(MEDIAN(IF(($D$2:$D$401=D357)*($AF$2:$AF$401&gt;=AF357-5)*($AF$2:$AF$401&lt;=AF357-1)*($M$2:$M$401&lt;&gt;""),$M$2:$M$401)),""))</f>
        <v/>
      </c>
      <c r="AH357" s="16" t="str">
        <f aca="false">IF(AND(ISNUMBER(M357),ISNUMBER(AG357)),IF(AG357&gt;0,M357/AG357,""),"")</f>
        <v/>
      </c>
      <c r="AI357" s="15" t="str">
        <f aca="false" t="array" ref="AI357:AI357">IF(D357="","",IFERROR(MEDIAN(IF(($D$2:$D$401=D357)*($AF$2:$AF$401&gt;=AF357-5)*($AF$2:$AF$401&lt;=AF357-1)*($N$2:$N$401&lt;&gt;""),$N$2:$N$401)),""))</f>
        <v/>
      </c>
      <c r="AJ357" s="16" t="str">
        <f aca="false">IF(AND(ISNUMBER(N357),ISNUMBER(AI357)),IF(AI357&gt;0,N357/AI357,""),"")</f>
        <v/>
      </c>
      <c r="AK357" s="12" t="str">
        <f aca="false" t="array" ref="AK357:AK357">IF(D357="","",IFERROR(MEDIAN(IF(($D$2:$D$401=D357)*ISNUMBER($R$2:$R$401),$R$2:$R$401)),""))</f>
        <v/>
      </c>
      <c r="AL357" s="17" t="str">
        <f aca="false">IF(ISNUMBER(AJ357),IF(AND(AJ357&gt;=Resumen!$C$5,OR(NOT(ISNUMBER(R357)),NOT(ISNUMBER(AK357)),R357&gt;=AK357)),"Ganador",IF(AJ357&lt;=Resumen!$C$6,"Perdedor","Normal")),IF(ISNUMBER(AH357),IF(AH357&gt;=Resumen!$C$5,"Ganador (7 d, provisional)",IF(AH357&lt;=Resumen!$C$6,"Perdedor (7 d, provisional)","Normal (7 d, provisional)")),""))</f>
        <v/>
      </c>
      <c r="AM357" s="18" t="str">
        <f aca="false">IF(AND(ISNUMBER(Z357),ISNUMBER(N357)),IF(N357&gt;0,Z357/N357*1000,""),"")</f>
        <v/>
      </c>
      <c r="AN357" s="19" t="str">
        <f aca="false">IF(AND(ISNUMBER(U357),ISNUMBER(N357)),IF(N357&gt;0,U357/N357*1000,""),"")</f>
        <v/>
      </c>
    </row>
    <row r="358" customFormat="false" ht="15" hidden="false" customHeight="false" outlineLevel="0" collapsed="false">
      <c r="A358" s="7"/>
      <c r="B358" s="7"/>
      <c r="C358" s="8"/>
      <c r="D358" s="7"/>
      <c r="E358" s="7"/>
      <c r="F358" s="7"/>
      <c r="G358" s="7"/>
      <c r="H358" s="7"/>
      <c r="I358" s="7"/>
      <c r="J358" s="7"/>
      <c r="K358" s="9"/>
      <c r="L358" s="10"/>
      <c r="M358" s="10"/>
      <c r="N358" s="10"/>
      <c r="O358" s="10"/>
      <c r="P358" s="11"/>
      <c r="Q358" s="9"/>
      <c r="R358" s="12" t="str">
        <f aca="false">IF(AND(ISNUMBER(K358),ISNUMBER(Q358),K358&gt;0),Q358/K358,"")</f>
        <v/>
      </c>
      <c r="S358" s="11"/>
      <c r="T358" s="9"/>
      <c r="U358" s="10"/>
      <c r="V358" s="11"/>
      <c r="W358" s="11"/>
      <c r="X358" s="11"/>
      <c r="Y358" s="12" t="str">
        <f aca="false">IF(COUNT(V358:X358)=0,"",MAX(0,1-SUM(V358:X358)))</f>
        <v/>
      </c>
      <c r="Z358" s="13"/>
      <c r="AA358" s="9"/>
      <c r="AB358" s="7"/>
      <c r="AC358" s="7"/>
      <c r="AD358" s="7"/>
      <c r="AE358" s="7"/>
      <c r="AF358" s="14" t="str">
        <f aca="false">IF(D358="","",COUNTIF($D$2:D358,D358))</f>
        <v/>
      </c>
      <c r="AG358" s="15" t="str">
        <f aca="false" t="array" ref="AG358:AG358">IF(D358="","",IFERROR(MEDIAN(IF(($D$2:$D$401=D358)*($AF$2:$AF$401&gt;=AF358-5)*($AF$2:$AF$401&lt;=AF358-1)*($M$2:$M$401&lt;&gt;""),$M$2:$M$401)),""))</f>
        <v/>
      </c>
      <c r="AH358" s="16" t="str">
        <f aca="false">IF(AND(ISNUMBER(M358),ISNUMBER(AG358)),IF(AG358&gt;0,M358/AG358,""),"")</f>
        <v/>
      </c>
      <c r="AI358" s="15" t="str">
        <f aca="false" t="array" ref="AI358:AI358">IF(D358="","",IFERROR(MEDIAN(IF(($D$2:$D$401=D358)*($AF$2:$AF$401&gt;=AF358-5)*($AF$2:$AF$401&lt;=AF358-1)*($N$2:$N$401&lt;&gt;""),$N$2:$N$401)),""))</f>
        <v/>
      </c>
      <c r="AJ358" s="16" t="str">
        <f aca="false">IF(AND(ISNUMBER(N358),ISNUMBER(AI358)),IF(AI358&gt;0,N358/AI358,""),"")</f>
        <v/>
      </c>
      <c r="AK358" s="12" t="str">
        <f aca="false" t="array" ref="AK358:AK358">IF(D358="","",IFERROR(MEDIAN(IF(($D$2:$D$401=D358)*ISNUMBER($R$2:$R$401),$R$2:$R$401)),""))</f>
        <v/>
      </c>
      <c r="AL358" s="17" t="str">
        <f aca="false">IF(ISNUMBER(AJ358),IF(AND(AJ358&gt;=Resumen!$C$5,OR(NOT(ISNUMBER(R358)),NOT(ISNUMBER(AK358)),R358&gt;=AK358)),"Ganador",IF(AJ358&lt;=Resumen!$C$6,"Perdedor","Normal")),IF(ISNUMBER(AH358),IF(AH358&gt;=Resumen!$C$5,"Ganador (7 d, provisional)",IF(AH358&lt;=Resumen!$C$6,"Perdedor (7 d, provisional)","Normal (7 d, provisional)")),""))</f>
        <v/>
      </c>
      <c r="AM358" s="18" t="str">
        <f aca="false">IF(AND(ISNUMBER(Z358),ISNUMBER(N358)),IF(N358&gt;0,Z358/N358*1000,""),"")</f>
        <v/>
      </c>
      <c r="AN358" s="19" t="str">
        <f aca="false">IF(AND(ISNUMBER(U358),ISNUMBER(N358)),IF(N358&gt;0,U358/N358*1000,""),"")</f>
        <v/>
      </c>
    </row>
    <row r="359" customFormat="false" ht="15" hidden="false" customHeight="false" outlineLevel="0" collapsed="false">
      <c r="A359" s="7"/>
      <c r="B359" s="7"/>
      <c r="C359" s="8"/>
      <c r="D359" s="7"/>
      <c r="E359" s="7"/>
      <c r="F359" s="7"/>
      <c r="G359" s="7"/>
      <c r="H359" s="7"/>
      <c r="I359" s="7"/>
      <c r="J359" s="7"/>
      <c r="K359" s="9"/>
      <c r="L359" s="10"/>
      <c r="M359" s="10"/>
      <c r="N359" s="10"/>
      <c r="O359" s="10"/>
      <c r="P359" s="11"/>
      <c r="Q359" s="9"/>
      <c r="R359" s="12" t="str">
        <f aca="false">IF(AND(ISNUMBER(K359),ISNUMBER(Q359),K359&gt;0),Q359/K359,"")</f>
        <v/>
      </c>
      <c r="S359" s="11"/>
      <c r="T359" s="9"/>
      <c r="U359" s="10"/>
      <c r="V359" s="11"/>
      <c r="W359" s="11"/>
      <c r="X359" s="11"/>
      <c r="Y359" s="12" t="str">
        <f aca="false">IF(COUNT(V359:X359)=0,"",MAX(0,1-SUM(V359:X359)))</f>
        <v/>
      </c>
      <c r="Z359" s="13"/>
      <c r="AA359" s="9"/>
      <c r="AB359" s="7"/>
      <c r="AC359" s="7"/>
      <c r="AD359" s="7"/>
      <c r="AE359" s="7"/>
      <c r="AF359" s="14" t="str">
        <f aca="false">IF(D359="","",COUNTIF($D$2:D359,D359))</f>
        <v/>
      </c>
      <c r="AG359" s="15" t="str">
        <f aca="false" t="array" ref="AG359:AG359">IF(D359="","",IFERROR(MEDIAN(IF(($D$2:$D$401=D359)*($AF$2:$AF$401&gt;=AF359-5)*($AF$2:$AF$401&lt;=AF359-1)*($M$2:$M$401&lt;&gt;""),$M$2:$M$401)),""))</f>
        <v/>
      </c>
      <c r="AH359" s="16" t="str">
        <f aca="false">IF(AND(ISNUMBER(M359),ISNUMBER(AG359)),IF(AG359&gt;0,M359/AG359,""),"")</f>
        <v/>
      </c>
      <c r="AI359" s="15" t="str">
        <f aca="false" t="array" ref="AI359:AI359">IF(D359="","",IFERROR(MEDIAN(IF(($D$2:$D$401=D359)*($AF$2:$AF$401&gt;=AF359-5)*($AF$2:$AF$401&lt;=AF359-1)*($N$2:$N$401&lt;&gt;""),$N$2:$N$401)),""))</f>
        <v/>
      </c>
      <c r="AJ359" s="16" t="str">
        <f aca="false">IF(AND(ISNUMBER(N359),ISNUMBER(AI359)),IF(AI359&gt;0,N359/AI359,""),"")</f>
        <v/>
      </c>
      <c r="AK359" s="12" t="str">
        <f aca="false" t="array" ref="AK359:AK359">IF(D359="","",IFERROR(MEDIAN(IF(($D$2:$D$401=D359)*ISNUMBER($R$2:$R$401),$R$2:$R$401)),""))</f>
        <v/>
      </c>
      <c r="AL359" s="17" t="str">
        <f aca="false">IF(ISNUMBER(AJ359),IF(AND(AJ359&gt;=Resumen!$C$5,OR(NOT(ISNUMBER(R359)),NOT(ISNUMBER(AK359)),R359&gt;=AK359)),"Ganador",IF(AJ359&lt;=Resumen!$C$6,"Perdedor","Normal")),IF(ISNUMBER(AH359),IF(AH359&gt;=Resumen!$C$5,"Ganador (7 d, provisional)",IF(AH359&lt;=Resumen!$C$6,"Perdedor (7 d, provisional)","Normal (7 d, provisional)")),""))</f>
        <v/>
      </c>
      <c r="AM359" s="18" t="str">
        <f aca="false">IF(AND(ISNUMBER(Z359),ISNUMBER(N359)),IF(N359&gt;0,Z359/N359*1000,""),"")</f>
        <v/>
      </c>
      <c r="AN359" s="19" t="str">
        <f aca="false">IF(AND(ISNUMBER(U359),ISNUMBER(N359)),IF(N359&gt;0,U359/N359*1000,""),"")</f>
        <v/>
      </c>
    </row>
    <row r="360" customFormat="false" ht="15" hidden="false" customHeight="false" outlineLevel="0" collapsed="false">
      <c r="A360" s="7"/>
      <c r="B360" s="7"/>
      <c r="C360" s="8"/>
      <c r="D360" s="7"/>
      <c r="E360" s="7"/>
      <c r="F360" s="7"/>
      <c r="G360" s="7"/>
      <c r="H360" s="7"/>
      <c r="I360" s="7"/>
      <c r="J360" s="7"/>
      <c r="K360" s="9"/>
      <c r="L360" s="10"/>
      <c r="M360" s="10"/>
      <c r="N360" s="10"/>
      <c r="O360" s="10"/>
      <c r="P360" s="11"/>
      <c r="Q360" s="9"/>
      <c r="R360" s="12" t="str">
        <f aca="false">IF(AND(ISNUMBER(K360),ISNUMBER(Q360),K360&gt;0),Q360/K360,"")</f>
        <v/>
      </c>
      <c r="S360" s="11"/>
      <c r="T360" s="9"/>
      <c r="U360" s="10"/>
      <c r="V360" s="11"/>
      <c r="W360" s="11"/>
      <c r="X360" s="11"/>
      <c r="Y360" s="12" t="str">
        <f aca="false">IF(COUNT(V360:X360)=0,"",MAX(0,1-SUM(V360:X360)))</f>
        <v/>
      </c>
      <c r="Z360" s="13"/>
      <c r="AA360" s="9"/>
      <c r="AB360" s="7"/>
      <c r="AC360" s="7"/>
      <c r="AD360" s="7"/>
      <c r="AE360" s="7"/>
      <c r="AF360" s="14" t="str">
        <f aca="false">IF(D360="","",COUNTIF($D$2:D360,D360))</f>
        <v/>
      </c>
      <c r="AG360" s="15" t="str">
        <f aca="false" t="array" ref="AG360:AG360">IF(D360="","",IFERROR(MEDIAN(IF(($D$2:$D$401=D360)*($AF$2:$AF$401&gt;=AF360-5)*($AF$2:$AF$401&lt;=AF360-1)*($M$2:$M$401&lt;&gt;""),$M$2:$M$401)),""))</f>
        <v/>
      </c>
      <c r="AH360" s="16" t="str">
        <f aca="false">IF(AND(ISNUMBER(M360),ISNUMBER(AG360)),IF(AG360&gt;0,M360/AG360,""),"")</f>
        <v/>
      </c>
      <c r="AI360" s="15" t="str">
        <f aca="false" t="array" ref="AI360:AI360">IF(D360="","",IFERROR(MEDIAN(IF(($D$2:$D$401=D360)*($AF$2:$AF$401&gt;=AF360-5)*($AF$2:$AF$401&lt;=AF360-1)*($N$2:$N$401&lt;&gt;""),$N$2:$N$401)),""))</f>
        <v/>
      </c>
      <c r="AJ360" s="16" t="str">
        <f aca="false">IF(AND(ISNUMBER(N360),ISNUMBER(AI360)),IF(AI360&gt;0,N360/AI360,""),"")</f>
        <v/>
      </c>
      <c r="AK360" s="12" t="str">
        <f aca="false" t="array" ref="AK360:AK360">IF(D360="","",IFERROR(MEDIAN(IF(($D$2:$D$401=D360)*ISNUMBER($R$2:$R$401),$R$2:$R$401)),""))</f>
        <v/>
      </c>
      <c r="AL360" s="17" t="str">
        <f aca="false">IF(ISNUMBER(AJ360),IF(AND(AJ360&gt;=Resumen!$C$5,OR(NOT(ISNUMBER(R360)),NOT(ISNUMBER(AK360)),R360&gt;=AK360)),"Ganador",IF(AJ360&lt;=Resumen!$C$6,"Perdedor","Normal")),IF(ISNUMBER(AH360),IF(AH360&gt;=Resumen!$C$5,"Ganador (7 d, provisional)",IF(AH360&lt;=Resumen!$C$6,"Perdedor (7 d, provisional)","Normal (7 d, provisional)")),""))</f>
        <v/>
      </c>
      <c r="AM360" s="18" t="str">
        <f aca="false">IF(AND(ISNUMBER(Z360),ISNUMBER(N360)),IF(N360&gt;0,Z360/N360*1000,""),"")</f>
        <v/>
      </c>
      <c r="AN360" s="19" t="str">
        <f aca="false">IF(AND(ISNUMBER(U360),ISNUMBER(N360)),IF(N360&gt;0,U360/N360*1000,""),"")</f>
        <v/>
      </c>
    </row>
    <row r="361" customFormat="false" ht="15" hidden="false" customHeight="false" outlineLevel="0" collapsed="false">
      <c r="A361" s="7"/>
      <c r="B361" s="7"/>
      <c r="C361" s="8"/>
      <c r="D361" s="7"/>
      <c r="E361" s="7"/>
      <c r="F361" s="7"/>
      <c r="G361" s="7"/>
      <c r="H361" s="7"/>
      <c r="I361" s="7"/>
      <c r="J361" s="7"/>
      <c r="K361" s="9"/>
      <c r="L361" s="10"/>
      <c r="M361" s="10"/>
      <c r="N361" s="10"/>
      <c r="O361" s="10"/>
      <c r="P361" s="11"/>
      <c r="Q361" s="9"/>
      <c r="R361" s="12" t="str">
        <f aca="false">IF(AND(ISNUMBER(K361),ISNUMBER(Q361),K361&gt;0),Q361/K361,"")</f>
        <v/>
      </c>
      <c r="S361" s="11"/>
      <c r="T361" s="9"/>
      <c r="U361" s="10"/>
      <c r="V361" s="11"/>
      <c r="W361" s="11"/>
      <c r="X361" s="11"/>
      <c r="Y361" s="12" t="str">
        <f aca="false">IF(COUNT(V361:X361)=0,"",MAX(0,1-SUM(V361:X361)))</f>
        <v/>
      </c>
      <c r="Z361" s="13"/>
      <c r="AA361" s="9"/>
      <c r="AB361" s="7"/>
      <c r="AC361" s="7"/>
      <c r="AD361" s="7"/>
      <c r="AE361" s="7"/>
      <c r="AF361" s="14" t="str">
        <f aca="false">IF(D361="","",COUNTIF($D$2:D361,D361))</f>
        <v/>
      </c>
      <c r="AG361" s="15" t="str">
        <f aca="false" t="array" ref="AG361:AG361">IF(D361="","",IFERROR(MEDIAN(IF(($D$2:$D$401=D361)*($AF$2:$AF$401&gt;=AF361-5)*($AF$2:$AF$401&lt;=AF361-1)*($M$2:$M$401&lt;&gt;""),$M$2:$M$401)),""))</f>
        <v/>
      </c>
      <c r="AH361" s="16" t="str">
        <f aca="false">IF(AND(ISNUMBER(M361),ISNUMBER(AG361)),IF(AG361&gt;0,M361/AG361,""),"")</f>
        <v/>
      </c>
      <c r="AI361" s="15" t="str">
        <f aca="false" t="array" ref="AI361:AI361">IF(D361="","",IFERROR(MEDIAN(IF(($D$2:$D$401=D361)*($AF$2:$AF$401&gt;=AF361-5)*($AF$2:$AF$401&lt;=AF361-1)*($N$2:$N$401&lt;&gt;""),$N$2:$N$401)),""))</f>
        <v/>
      </c>
      <c r="AJ361" s="16" t="str">
        <f aca="false">IF(AND(ISNUMBER(N361),ISNUMBER(AI361)),IF(AI361&gt;0,N361/AI361,""),"")</f>
        <v/>
      </c>
      <c r="AK361" s="12" t="str">
        <f aca="false" t="array" ref="AK361:AK361">IF(D361="","",IFERROR(MEDIAN(IF(($D$2:$D$401=D361)*ISNUMBER($R$2:$R$401),$R$2:$R$401)),""))</f>
        <v/>
      </c>
      <c r="AL361" s="17" t="str">
        <f aca="false">IF(ISNUMBER(AJ361),IF(AND(AJ361&gt;=Resumen!$C$5,OR(NOT(ISNUMBER(R361)),NOT(ISNUMBER(AK361)),R361&gt;=AK361)),"Ganador",IF(AJ361&lt;=Resumen!$C$6,"Perdedor","Normal")),IF(ISNUMBER(AH361),IF(AH361&gt;=Resumen!$C$5,"Ganador (7 d, provisional)",IF(AH361&lt;=Resumen!$C$6,"Perdedor (7 d, provisional)","Normal (7 d, provisional)")),""))</f>
        <v/>
      </c>
      <c r="AM361" s="18" t="str">
        <f aca="false">IF(AND(ISNUMBER(Z361),ISNUMBER(N361)),IF(N361&gt;0,Z361/N361*1000,""),"")</f>
        <v/>
      </c>
      <c r="AN361" s="19" t="str">
        <f aca="false">IF(AND(ISNUMBER(U361),ISNUMBER(N361)),IF(N361&gt;0,U361/N361*1000,""),"")</f>
        <v/>
      </c>
    </row>
    <row r="362" customFormat="false" ht="15" hidden="false" customHeight="false" outlineLevel="0" collapsed="false">
      <c r="A362" s="7"/>
      <c r="B362" s="7"/>
      <c r="C362" s="8"/>
      <c r="D362" s="7"/>
      <c r="E362" s="7"/>
      <c r="F362" s="7"/>
      <c r="G362" s="7"/>
      <c r="H362" s="7"/>
      <c r="I362" s="7"/>
      <c r="J362" s="7"/>
      <c r="K362" s="9"/>
      <c r="L362" s="10"/>
      <c r="M362" s="10"/>
      <c r="N362" s="10"/>
      <c r="O362" s="10"/>
      <c r="P362" s="11"/>
      <c r="Q362" s="9"/>
      <c r="R362" s="12" t="str">
        <f aca="false">IF(AND(ISNUMBER(K362),ISNUMBER(Q362),K362&gt;0),Q362/K362,"")</f>
        <v/>
      </c>
      <c r="S362" s="11"/>
      <c r="T362" s="9"/>
      <c r="U362" s="10"/>
      <c r="V362" s="11"/>
      <c r="W362" s="11"/>
      <c r="X362" s="11"/>
      <c r="Y362" s="12" t="str">
        <f aca="false">IF(COUNT(V362:X362)=0,"",MAX(0,1-SUM(V362:X362)))</f>
        <v/>
      </c>
      <c r="Z362" s="13"/>
      <c r="AA362" s="9"/>
      <c r="AB362" s="7"/>
      <c r="AC362" s="7"/>
      <c r="AD362" s="7"/>
      <c r="AE362" s="7"/>
      <c r="AF362" s="14" t="str">
        <f aca="false">IF(D362="","",COUNTIF($D$2:D362,D362))</f>
        <v/>
      </c>
      <c r="AG362" s="15" t="str">
        <f aca="false" t="array" ref="AG362:AG362">IF(D362="","",IFERROR(MEDIAN(IF(($D$2:$D$401=D362)*($AF$2:$AF$401&gt;=AF362-5)*($AF$2:$AF$401&lt;=AF362-1)*($M$2:$M$401&lt;&gt;""),$M$2:$M$401)),""))</f>
        <v/>
      </c>
      <c r="AH362" s="16" t="str">
        <f aca="false">IF(AND(ISNUMBER(M362),ISNUMBER(AG362)),IF(AG362&gt;0,M362/AG362,""),"")</f>
        <v/>
      </c>
      <c r="AI362" s="15" t="str">
        <f aca="false" t="array" ref="AI362:AI362">IF(D362="","",IFERROR(MEDIAN(IF(($D$2:$D$401=D362)*($AF$2:$AF$401&gt;=AF362-5)*($AF$2:$AF$401&lt;=AF362-1)*($N$2:$N$401&lt;&gt;""),$N$2:$N$401)),""))</f>
        <v/>
      </c>
      <c r="AJ362" s="16" t="str">
        <f aca="false">IF(AND(ISNUMBER(N362),ISNUMBER(AI362)),IF(AI362&gt;0,N362/AI362,""),"")</f>
        <v/>
      </c>
      <c r="AK362" s="12" t="str">
        <f aca="false" t="array" ref="AK362:AK362">IF(D362="","",IFERROR(MEDIAN(IF(($D$2:$D$401=D362)*ISNUMBER($R$2:$R$401),$R$2:$R$401)),""))</f>
        <v/>
      </c>
      <c r="AL362" s="17" t="str">
        <f aca="false">IF(ISNUMBER(AJ362),IF(AND(AJ362&gt;=Resumen!$C$5,OR(NOT(ISNUMBER(R362)),NOT(ISNUMBER(AK362)),R362&gt;=AK362)),"Ganador",IF(AJ362&lt;=Resumen!$C$6,"Perdedor","Normal")),IF(ISNUMBER(AH362),IF(AH362&gt;=Resumen!$C$5,"Ganador (7 d, provisional)",IF(AH362&lt;=Resumen!$C$6,"Perdedor (7 d, provisional)","Normal (7 d, provisional)")),""))</f>
        <v/>
      </c>
      <c r="AM362" s="18" t="str">
        <f aca="false">IF(AND(ISNUMBER(Z362),ISNUMBER(N362)),IF(N362&gt;0,Z362/N362*1000,""),"")</f>
        <v/>
      </c>
      <c r="AN362" s="19" t="str">
        <f aca="false">IF(AND(ISNUMBER(U362),ISNUMBER(N362)),IF(N362&gt;0,U362/N362*1000,""),"")</f>
        <v/>
      </c>
    </row>
    <row r="363" customFormat="false" ht="15" hidden="false" customHeight="false" outlineLevel="0" collapsed="false">
      <c r="A363" s="7"/>
      <c r="B363" s="7"/>
      <c r="C363" s="8"/>
      <c r="D363" s="7"/>
      <c r="E363" s="7"/>
      <c r="F363" s="7"/>
      <c r="G363" s="7"/>
      <c r="H363" s="7"/>
      <c r="I363" s="7"/>
      <c r="J363" s="7"/>
      <c r="K363" s="9"/>
      <c r="L363" s="10"/>
      <c r="M363" s="10"/>
      <c r="N363" s="10"/>
      <c r="O363" s="10"/>
      <c r="P363" s="11"/>
      <c r="Q363" s="9"/>
      <c r="R363" s="12" t="str">
        <f aca="false">IF(AND(ISNUMBER(K363),ISNUMBER(Q363),K363&gt;0),Q363/K363,"")</f>
        <v/>
      </c>
      <c r="S363" s="11"/>
      <c r="T363" s="9"/>
      <c r="U363" s="10"/>
      <c r="V363" s="11"/>
      <c r="W363" s="11"/>
      <c r="X363" s="11"/>
      <c r="Y363" s="12" t="str">
        <f aca="false">IF(COUNT(V363:X363)=0,"",MAX(0,1-SUM(V363:X363)))</f>
        <v/>
      </c>
      <c r="Z363" s="13"/>
      <c r="AA363" s="9"/>
      <c r="AB363" s="7"/>
      <c r="AC363" s="7"/>
      <c r="AD363" s="7"/>
      <c r="AE363" s="7"/>
      <c r="AF363" s="14" t="str">
        <f aca="false">IF(D363="","",COUNTIF($D$2:D363,D363))</f>
        <v/>
      </c>
      <c r="AG363" s="15" t="str">
        <f aca="false" t="array" ref="AG363:AG363">IF(D363="","",IFERROR(MEDIAN(IF(($D$2:$D$401=D363)*($AF$2:$AF$401&gt;=AF363-5)*($AF$2:$AF$401&lt;=AF363-1)*($M$2:$M$401&lt;&gt;""),$M$2:$M$401)),""))</f>
        <v/>
      </c>
      <c r="AH363" s="16" t="str">
        <f aca="false">IF(AND(ISNUMBER(M363),ISNUMBER(AG363)),IF(AG363&gt;0,M363/AG363,""),"")</f>
        <v/>
      </c>
      <c r="AI363" s="15" t="str">
        <f aca="false" t="array" ref="AI363:AI363">IF(D363="","",IFERROR(MEDIAN(IF(($D$2:$D$401=D363)*($AF$2:$AF$401&gt;=AF363-5)*($AF$2:$AF$401&lt;=AF363-1)*($N$2:$N$401&lt;&gt;""),$N$2:$N$401)),""))</f>
        <v/>
      </c>
      <c r="AJ363" s="16" t="str">
        <f aca="false">IF(AND(ISNUMBER(N363),ISNUMBER(AI363)),IF(AI363&gt;0,N363/AI363,""),"")</f>
        <v/>
      </c>
      <c r="AK363" s="12" t="str">
        <f aca="false" t="array" ref="AK363:AK363">IF(D363="","",IFERROR(MEDIAN(IF(($D$2:$D$401=D363)*ISNUMBER($R$2:$R$401),$R$2:$R$401)),""))</f>
        <v/>
      </c>
      <c r="AL363" s="17" t="str">
        <f aca="false">IF(ISNUMBER(AJ363),IF(AND(AJ363&gt;=Resumen!$C$5,OR(NOT(ISNUMBER(R363)),NOT(ISNUMBER(AK363)),R363&gt;=AK363)),"Ganador",IF(AJ363&lt;=Resumen!$C$6,"Perdedor","Normal")),IF(ISNUMBER(AH363),IF(AH363&gt;=Resumen!$C$5,"Ganador (7 d, provisional)",IF(AH363&lt;=Resumen!$C$6,"Perdedor (7 d, provisional)","Normal (7 d, provisional)")),""))</f>
        <v/>
      </c>
      <c r="AM363" s="18" t="str">
        <f aca="false">IF(AND(ISNUMBER(Z363),ISNUMBER(N363)),IF(N363&gt;0,Z363/N363*1000,""),"")</f>
        <v/>
      </c>
      <c r="AN363" s="19" t="str">
        <f aca="false">IF(AND(ISNUMBER(U363),ISNUMBER(N363)),IF(N363&gt;0,U363/N363*1000,""),"")</f>
        <v/>
      </c>
    </row>
    <row r="364" customFormat="false" ht="15" hidden="false" customHeight="false" outlineLevel="0" collapsed="false">
      <c r="A364" s="7"/>
      <c r="B364" s="7"/>
      <c r="C364" s="8"/>
      <c r="D364" s="7"/>
      <c r="E364" s="7"/>
      <c r="F364" s="7"/>
      <c r="G364" s="7"/>
      <c r="H364" s="7"/>
      <c r="I364" s="7"/>
      <c r="J364" s="7"/>
      <c r="K364" s="9"/>
      <c r="L364" s="10"/>
      <c r="M364" s="10"/>
      <c r="N364" s="10"/>
      <c r="O364" s="10"/>
      <c r="P364" s="11"/>
      <c r="Q364" s="9"/>
      <c r="R364" s="12" t="str">
        <f aca="false">IF(AND(ISNUMBER(K364),ISNUMBER(Q364),K364&gt;0),Q364/K364,"")</f>
        <v/>
      </c>
      <c r="S364" s="11"/>
      <c r="T364" s="9"/>
      <c r="U364" s="10"/>
      <c r="V364" s="11"/>
      <c r="W364" s="11"/>
      <c r="X364" s="11"/>
      <c r="Y364" s="12" t="str">
        <f aca="false">IF(COUNT(V364:X364)=0,"",MAX(0,1-SUM(V364:X364)))</f>
        <v/>
      </c>
      <c r="Z364" s="13"/>
      <c r="AA364" s="9"/>
      <c r="AB364" s="7"/>
      <c r="AC364" s="7"/>
      <c r="AD364" s="7"/>
      <c r="AE364" s="7"/>
      <c r="AF364" s="14" t="str">
        <f aca="false">IF(D364="","",COUNTIF($D$2:D364,D364))</f>
        <v/>
      </c>
      <c r="AG364" s="15" t="str">
        <f aca="false" t="array" ref="AG364:AG364">IF(D364="","",IFERROR(MEDIAN(IF(($D$2:$D$401=D364)*($AF$2:$AF$401&gt;=AF364-5)*($AF$2:$AF$401&lt;=AF364-1)*($M$2:$M$401&lt;&gt;""),$M$2:$M$401)),""))</f>
        <v/>
      </c>
      <c r="AH364" s="16" t="str">
        <f aca="false">IF(AND(ISNUMBER(M364),ISNUMBER(AG364)),IF(AG364&gt;0,M364/AG364,""),"")</f>
        <v/>
      </c>
      <c r="AI364" s="15" t="str">
        <f aca="false" t="array" ref="AI364:AI364">IF(D364="","",IFERROR(MEDIAN(IF(($D$2:$D$401=D364)*($AF$2:$AF$401&gt;=AF364-5)*($AF$2:$AF$401&lt;=AF364-1)*($N$2:$N$401&lt;&gt;""),$N$2:$N$401)),""))</f>
        <v/>
      </c>
      <c r="AJ364" s="16" t="str">
        <f aca="false">IF(AND(ISNUMBER(N364),ISNUMBER(AI364)),IF(AI364&gt;0,N364/AI364,""),"")</f>
        <v/>
      </c>
      <c r="AK364" s="12" t="str">
        <f aca="false" t="array" ref="AK364:AK364">IF(D364="","",IFERROR(MEDIAN(IF(($D$2:$D$401=D364)*ISNUMBER($R$2:$R$401),$R$2:$R$401)),""))</f>
        <v/>
      </c>
      <c r="AL364" s="17" t="str">
        <f aca="false">IF(ISNUMBER(AJ364),IF(AND(AJ364&gt;=Resumen!$C$5,OR(NOT(ISNUMBER(R364)),NOT(ISNUMBER(AK364)),R364&gt;=AK364)),"Ganador",IF(AJ364&lt;=Resumen!$C$6,"Perdedor","Normal")),IF(ISNUMBER(AH364),IF(AH364&gt;=Resumen!$C$5,"Ganador (7 d, provisional)",IF(AH364&lt;=Resumen!$C$6,"Perdedor (7 d, provisional)","Normal (7 d, provisional)")),""))</f>
        <v/>
      </c>
      <c r="AM364" s="18" t="str">
        <f aca="false">IF(AND(ISNUMBER(Z364),ISNUMBER(N364)),IF(N364&gt;0,Z364/N364*1000,""),"")</f>
        <v/>
      </c>
      <c r="AN364" s="19" t="str">
        <f aca="false">IF(AND(ISNUMBER(U364),ISNUMBER(N364)),IF(N364&gt;0,U364/N364*1000,""),"")</f>
        <v/>
      </c>
    </row>
    <row r="365" customFormat="false" ht="15" hidden="false" customHeight="false" outlineLevel="0" collapsed="false">
      <c r="A365" s="7"/>
      <c r="B365" s="7"/>
      <c r="C365" s="8"/>
      <c r="D365" s="7"/>
      <c r="E365" s="7"/>
      <c r="F365" s="7"/>
      <c r="G365" s="7"/>
      <c r="H365" s="7"/>
      <c r="I365" s="7"/>
      <c r="J365" s="7"/>
      <c r="K365" s="9"/>
      <c r="L365" s="10"/>
      <c r="M365" s="10"/>
      <c r="N365" s="10"/>
      <c r="O365" s="10"/>
      <c r="P365" s="11"/>
      <c r="Q365" s="9"/>
      <c r="R365" s="12" t="str">
        <f aca="false">IF(AND(ISNUMBER(K365),ISNUMBER(Q365),K365&gt;0),Q365/K365,"")</f>
        <v/>
      </c>
      <c r="S365" s="11"/>
      <c r="T365" s="9"/>
      <c r="U365" s="10"/>
      <c r="V365" s="11"/>
      <c r="W365" s="11"/>
      <c r="X365" s="11"/>
      <c r="Y365" s="12" t="str">
        <f aca="false">IF(COUNT(V365:X365)=0,"",MAX(0,1-SUM(V365:X365)))</f>
        <v/>
      </c>
      <c r="Z365" s="13"/>
      <c r="AA365" s="9"/>
      <c r="AB365" s="7"/>
      <c r="AC365" s="7"/>
      <c r="AD365" s="7"/>
      <c r="AE365" s="7"/>
      <c r="AF365" s="14" t="str">
        <f aca="false">IF(D365="","",COUNTIF($D$2:D365,D365))</f>
        <v/>
      </c>
      <c r="AG365" s="15" t="str">
        <f aca="false" t="array" ref="AG365:AG365">IF(D365="","",IFERROR(MEDIAN(IF(($D$2:$D$401=D365)*($AF$2:$AF$401&gt;=AF365-5)*($AF$2:$AF$401&lt;=AF365-1)*($M$2:$M$401&lt;&gt;""),$M$2:$M$401)),""))</f>
        <v/>
      </c>
      <c r="AH365" s="16" t="str">
        <f aca="false">IF(AND(ISNUMBER(M365),ISNUMBER(AG365)),IF(AG365&gt;0,M365/AG365,""),"")</f>
        <v/>
      </c>
      <c r="AI365" s="15" t="str">
        <f aca="false" t="array" ref="AI365:AI365">IF(D365="","",IFERROR(MEDIAN(IF(($D$2:$D$401=D365)*($AF$2:$AF$401&gt;=AF365-5)*($AF$2:$AF$401&lt;=AF365-1)*($N$2:$N$401&lt;&gt;""),$N$2:$N$401)),""))</f>
        <v/>
      </c>
      <c r="AJ365" s="16" t="str">
        <f aca="false">IF(AND(ISNUMBER(N365),ISNUMBER(AI365)),IF(AI365&gt;0,N365/AI365,""),"")</f>
        <v/>
      </c>
      <c r="AK365" s="12" t="str">
        <f aca="false" t="array" ref="AK365:AK365">IF(D365="","",IFERROR(MEDIAN(IF(($D$2:$D$401=D365)*ISNUMBER($R$2:$R$401),$R$2:$R$401)),""))</f>
        <v/>
      </c>
      <c r="AL365" s="17" t="str">
        <f aca="false">IF(ISNUMBER(AJ365),IF(AND(AJ365&gt;=Resumen!$C$5,OR(NOT(ISNUMBER(R365)),NOT(ISNUMBER(AK365)),R365&gt;=AK365)),"Ganador",IF(AJ365&lt;=Resumen!$C$6,"Perdedor","Normal")),IF(ISNUMBER(AH365),IF(AH365&gt;=Resumen!$C$5,"Ganador (7 d, provisional)",IF(AH365&lt;=Resumen!$C$6,"Perdedor (7 d, provisional)","Normal (7 d, provisional)")),""))</f>
        <v/>
      </c>
      <c r="AM365" s="18" t="str">
        <f aca="false">IF(AND(ISNUMBER(Z365),ISNUMBER(N365)),IF(N365&gt;0,Z365/N365*1000,""),"")</f>
        <v/>
      </c>
      <c r="AN365" s="19" t="str">
        <f aca="false">IF(AND(ISNUMBER(U365),ISNUMBER(N365)),IF(N365&gt;0,U365/N365*1000,""),"")</f>
        <v/>
      </c>
    </row>
    <row r="366" customFormat="false" ht="15" hidden="false" customHeight="false" outlineLevel="0" collapsed="false">
      <c r="A366" s="7"/>
      <c r="B366" s="7"/>
      <c r="C366" s="8"/>
      <c r="D366" s="7"/>
      <c r="E366" s="7"/>
      <c r="F366" s="7"/>
      <c r="G366" s="7"/>
      <c r="H366" s="7"/>
      <c r="I366" s="7"/>
      <c r="J366" s="7"/>
      <c r="K366" s="9"/>
      <c r="L366" s="10"/>
      <c r="M366" s="10"/>
      <c r="N366" s="10"/>
      <c r="O366" s="10"/>
      <c r="P366" s="11"/>
      <c r="Q366" s="9"/>
      <c r="R366" s="12" t="str">
        <f aca="false">IF(AND(ISNUMBER(K366),ISNUMBER(Q366),K366&gt;0),Q366/K366,"")</f>
        <v/>
      </c>
      <c r="S366" s="11"/>
      <c r="T366" s="9"/>
      <c r="U366" s="10"/>
      <c r="V366" s="11"/>
      <c r="W366" s="11"/>
      <c r="X366" s="11"/>
      <c r="Y366" s="12" t="str">
        <f aca="false">IF(COUNT(V366:X366)=0,"",MAX(0,1-SUM(V366:X366)))</f>
        <v/>
      </c>
      <c r="Z366" s="13"/>
      <c r="AA366" s="9"/>
      <c r="AB366" s="7"/>
      <c r="AC366" s="7"/>
      <c r="AD366" s="7"/>
      <c r="AE366" s="7"/>
      <c r="AF366" s="14" t="str">
        <f aca="false">IF(D366="","",COUNTIF($D$2:D366,D366))</f>
        <v/>
      </c>
      <c r="AG366" s="15" t="str">
        <f aca="false" t="array" ref="AG366:AG366">IF(D366="","",IFERROR(MEDIAN(IF(($D$2:$D$401=D366)*($AF$2:$AF$401&gt;=AF366-5)*($AF$2:$AF$401&lt;=AF366-1)*($M$2:$M$401&lt;&gt;""),$M$2:$M$401)),""))</f>
        <v/>
      </c>
      <c r="AH366" s="16" t="str">
        <f aca="false">IF(AND(ISNUMBER(M366),ISNUMBER(AG366)),IF(AG366&gt;0,M366/AG366,""),"")</f>
        <v/>
      </c>
      <c r="AI366" s="15" t="str">
        <f aca="false" t="array" ref="AI366:AI366">IF(D366="","",IFERROR(MEDIAN(IF(($D$2:$D$401=D366)*($AF$2:$AF$401&gt;=AF366-5)*($AF$2:$AF$401&lt;=AF366-1)*($N$2:$N$401&lt;&gt;""),$N$2:$N$401)),""))</f>
        <v/>
      </c>
      <c r="AJ366" s="16" t="str">
        <f aca="false">IF(AND(ISNUMBER(N366),ISNUMBER(AI366)),IF(AI366&gt;0,N366/AI366,""),"")</f>
        <v/>
      </c>
      <c r="AK366" s="12" t="str">
        <f aca="false" t="array" ref="AK366:AK366">IF(D366="","",IFERROR(MEDIAN(IF(($D$2:$D$401=D366)*ISNUMBER($R$2:$R$401),$R$2:$R$401)),""))</f>
        <v/>
      </c>
      <c r="AL366" s="17" t="str">
        <f aca="false">IF(ISNUMBER(AJ366),IF(AND(AJ366&gt;=Resumen!$C$5,OR(NOT(ISNUMBER(R366)),NOT(ISNUMBER(AK366)),R366&gt;=AK366)),"Ganador",IF(AJ366&lt;=Resumen!$C$6,"Perdedor","Normal")),IF(ISNUMBER(AH366),IF(AH366&gt;=Resumen!$C$5,"Ganador (7 d, provisional)",IF(AH366&lt;=Resumen!$C$6,"Perdedor (7 d, provisional)","Normal (7 d, provisional)")),""))</f>
        <v/>
      </c>
      <c r="AM366" s="18" t="str">
        <f aca="false">IF(AND(ISNUMBER(Z366),ISNUMBER(N366)),IF(N366&gt;0,Z366/N366*1000,""),"")</f>
        <v/>
      </c>
      <c r="AN366" s="19" t="str">
        <f aca="false">IF(AND(ISNUMBER(U366),ISNUMBER(N366)),IF(N366&gt;0,U366/N366*1000,""),"")</f>
        <v/>
      </c>
    </row>
    <row r="367" customFormat="false" ht="15" hidden="false" customHeight="false" outlineLevel="0" collapsed="false">
      <c r="A367" s="7"/>
      <c r="B367" s="7"/>
      <c r="C367" s="8"/>
      <c r="D367" s="7"/>
      <c r="E367" s="7"/>
      <c r="F367" s="7"/>
      <c r="G367" s="7"/>
      <c r="H367" s="7"/>
      <c r="I367" s="7"/>
      <c r="J367" s="7"/>
      <c r="K367" s="9"/>
      <c r="L367" s="10"/>
      <c r="M367" s="10"/>
      <c r="N367" s="10"/>
      <c r="O367" s="10"/>
      <c r="P367" s="11"/>
      <c r="Q367" s="9"/>
      <c r="R367" s="12" t="str">
        <f aca="false">IF(AND(ISNUMBER(K367),ISNUMBER(Q367),K367&gt;0),Q367/K367,"")</f>
        <v/>
      </c>
      <c r="S367" s="11"/>
      <c r="T367" s="9"/>
      <c r="U367" s="10"/>
      <c r="V367" s="11"/>
      <c r="W367" s="11"/>
      <c r="X367" s="11"/>
      <c r="Y367" s="12" t="str">
        <f aca="false">IF(COUNT(V367:X367)=0,"",MAX(0,1-SUM(V367:X367)))</f>
        <v/>
      </c>
      <c r="Z367" s="13"/>
      <c r="AA367" s="9"/>
      <c r="AB367" s="7"/>
      <c r="AC367" s="7"/>
      <c r="AD367" s="7"/>
      <c r="AE367" s="7"/>
      <c r="AF367" s="14" t="str">
        <f aca="false">IF(D367="","",COUNTIF($D$2:D367,D367))</f>
        <v/>
      </c>
      <c r="AG367" s="15" t="str">
        <f aca="false" t="array" ref="AG367:AG367">IF(D367="","",IFERROR(MEDIAN(IF(($D$2:$D$401=D367)*($AF$2:$AF$401&gt;=AF367-5)*($AF$2:$AF$401&lt;=AF367-1)*($M$2:$M$401&lt;&gt;""),$M$2:$M$401)),""))</f>
        <v/>
      </c>
      <c r="AH367" s="16" t="str">
        <f aca="false">IF(AND(ISNUMBER(M367),ISNUMBER(AG367)),IF(AG367&gt;0,M367/AG367,""),"")</f>
        <v/>
      </c>
      <c r="AI367" s="15" t="str">
        <f aca="false" t="array" ref="AI367:AI367">IF(D367="","",IFERROR(MEDIAN(IF(($D$2:$D$401=D367)*($AF$2:$AF$401&gt;=AF367-5)*($AF$2:$AF$401&lt;=AF367-1)*($N$2:$N$401&lt;&gt;""),$N$2:$N$401)),""))</f>
        <v/>
      </c>
      <c r="AJ367" s="16" t="str">
        <f aca="false">IF(AND(ISNUMBER(N367),ISNUMBER(AI367)),IF(AI367&gt;0,N367/AI367,""),"")</f>
        <v/>
      </c>
      <c r="AK367" s="12" t="str">
        <f aca="false" t="array" ref="AK367:AK367">IF(D367="","",IFERROR(MEDIAN(IF(($D$2:$D$401=D367)*ISNUMBER($R$2:$R$401),$R$2:$R$401)),""))</f>
        <v/>
      </c>
      <c r="AL367" s="17" t="str">
        <f aca="false">IF(ISNUMBER(AJ367),IF(AND(AJ367&gt;=Resumen!$C$5,OR(NOT(ISNUMBER(R367)),NOT(ISNUMBER(AK367)),R367&gt;=AK367)),"Ganador",IF(AJ367&lt;=Resumen!$C$6,"Perdedor","Normal")),IF(ISNUMBER(AH367),IF(AH367&gt;=Resumen!$C$5,"Ganador (7 d, provisional)",IF(AH367&lt;=Resumen!$C$6,"Perdedor (7 d, provisional)","Normal (7 d, provisional)")),""))</f>
        <v/>
      </c>
      <c r="AM367" s="18" t="str">
        <f aca="false">IF(AND(ISNUMBER(Z367),ISNUMBER(N367)),IF(N367&gt;0,Z367/N367*1000,""),"")</f>
        <v/>
      </c>
      <c r="AN367" s="19" t="str">
        <f aca="false">IF(AND(ISNUMBER(U367),ISNUMBER(N367)),IF(N367&gt;0,U367/N367*1000,""),"")</f>
        <v/>
      </c>
    </row>
    <row r="368" customFormat="false" ht="15" hidden="false" customHeight="false" outlineLevel="0" collapsed="false">
      <c r="A368" s="7"/>
      <c r="B368" s="7"/>
      <c r="C368" s="8"/>
      <c r="D368" s="7"/>
      <c r="E368" s="7"/>
      <c r="F368" s="7"/>
      <c r="G368" s="7"/>
      <c r="H368" s="7"/>
      <c r="I368" s="7"/>
      <c r="J368" s="7"/>
      <c r="K368" s="9"/>
      <c r="L368" s="10"/>
      <c r="M368" s="10"/>
      <c r="N368" s="10"/>
      <c r="O368" s="10"/>
      <c r="P368" s="11"/>
      <c r="Q368" s="9"/>
      <c r="R368" s="12" t="str">
        <f aca="false">IF(AND(ISNUMBER(K368),ISNUMBER(Q368),K368&gt;0),Q368/K368,"")</f>
        <v/>
      </c>
      <c r="S368" s="11"/>
      <c r="T368" s="9"/>
      <c r="U368" s="10"/>
      <c r="V368" s="11"/>
      <c r="W368" s="11"/>
      <c r="X368" s="11"/>
      <c r="Y368" s="12" t="str">
        <f aca="false">IF(COUNT(V368:X368)=0,"",MAX(0,1-SUM(V368:X368)))</f>
        <v/>
      </c>
      <c r="Z368" s="13"/>
      <c r="AA368" s="9"/>
      <c r="AB368" s="7"/>
      <c r="AC368" s="7"/>
      <c r="AD368" s="7"/>
      <c r="AE368" s="7"/>
      <c r="AF368" s="14" t="str">
        <f aca="false">IF(D368="","",COUNTIF($D$2:D368,D368))</f>
        <v/>
      </c>
      <c r="AG368" s="15" t="str">
        <f aca="false" t="array" ref="AG368:AG368">IF(D368="","",IFERROR(MEDIAN(IF(($D$2:$D$401=D368)*($AF$2:$AF$401&gt;=AF368-5)*($AF$2:$AF$401&lt;=AF368-1)*($M$2:$M$401&lt;&gt;""),$M$2:$M$401)),""))</f>
        <v/>
      </c>
      <c r="AH368" s="16" t="str">
        <f aca="false">IF(AND(ISNUMBER(M368),ISNUMBER(AG368)),IF(AG368&gt;0,M368/AG368,""),"")</f>
        <v/>
      </c>
      <c r="AI368" s="15" t="str">
        <f aca="false" t="array" ref="AI368:AI368">IF(D368="","",IFERROR(MEDIAN(IF(($D$2:$D$401=D368)*($AF$2:$AF$401&gt;=AF368-5)*($AF$2:$AF$401&lt;=AF368-1)*($N$2:$N$401&lt;&gt;""),$N$2:$N$401)),""))</f>
        <v/>
      </c>
      <c r="AJ368" s="16" t="str">
        <f aca="false">IF(AND(ISNUMBER(N368),ISNUMBER(AI368)),IF(AI368&gt;0,N368/AI368,""),"")</f>
        <v/>
      </c>
      <c r="AK368" s="12" t="str">
        <f aca="false" t="array" ref="AK368:AK368">IF(D368="","",IFERROR(MEDIAN(IF(($D$2:$D$401=D368)*ISNUMBER($R$2:$R$401),$R$2:$R$401)),""))</f>
        <v/>
      </c>
      <c r="AL368" s="17" t="str">
        <f aca="false">IF(ISNUMBER(AJ368),IF(AND(AJ368&gt;=Resumen!$C$5,OR(NOT(ISNUMBER(R368)),NOT(ISNUMBER(AK368)),R368&gt;=AK368)),"Ganador",IF(AJ368&lt;=Resumen!$C$6,"Perdedor","Normal")),IF(ISNUMBER(AH368),IF(AH368&gt;=Resumen!$C$5,"Ganador (7 d, provisional)",IF(AH368&lt;=Resumen!$C$6,"Perdedor (7 d, provisional)","Normal (7 d, provisional)")),""))</f>
        <v/>
      </c>
      <c r="AM368" s="18" t="str">
        <f aca="false">IF(AND(ISNUMBER(Z368),ISNUMBER(N368)),IF(N368&gt;0,Z368/N368*1000,""),"")</f>
        <v/>
      </c>
      <c r="AN368" s="19" t="str">
        <f aca="false">IF(AND(ISNUMBER(U368),ISNUMBER(N368)),IF(N368&gt;0,U368/N368*1000,""),"")</f>
        <v/>
      </c>
    </row>
    <row r="369" customFormat="false" ht="15" hidden="false" customHeight="false" outlineLevel="0" collapsed="false">
      <c r="A369" s="7"/>
      <c r="B369" s="7"/>
      <c r="C369" s="8"/>
      <c r="D369" s="7"/>
      <c r="E369" s="7"/>
      <c r="F369" s="7"/>
      <c r="G369" s="7"/>
      <c r="H369" s="7"/>
      <c r="I369" s="7"/>
      <c r="J369" s="7"/>
      <c r="K369" s="9"/>
      <c r="L369" s="10"/>
      <c r="M369" s="10"/>
      <c r="N369" s="10"/>
      <c r="O369" s="10"/>
      <c r="P369" s="11"/>
      <c r="Q369" s="9"/>
      <c r="R369" s="12" t="str">
        <f aca="false">IF(AND(ISNUMBER(K369),ISNUMBER(Q369),K369&gt;0),Q369/K369,"")</f>
        <v/>
      </c>
      <c r="S369" s="11"/>
      <c r="T369" s="9"/>
      <c r="U369" s="10"/>
      <c r="V369" s="11"/>
      <c r="W369" s="11"/>
      <c r="X369" s="11"/>
      <c r="Y369" s="12" t="str">
        <f aca="false">IF(COUNT(V369:X369)=0,"",MAX(0,1-SUM(V369:X369)))</f>
        <v/>
      </c>
      <c r="Z369" s="13"/>
      <c r="AA369" s="9"/>
      <c r="AB369" s="7"/>
      <c r="AC369" s="7"/>
      <c r="AD369" s="7"/>
      <c r="AE369" s="7"/>
      <c r="AF369" s="14" t="str">
        <f aca="false">IF(D369="","",COUNTIF($D$2:D369,D369))</f>
        <v/>
      </c>
      <c r="AG369" s="15" t="str">
        <f aca="false" t="array" ref="AG369:AG369">IF(D369="","",IFERROR(MEDIAN(IF(($D$2:$D$401=D369)*($AF$2:$AF$401&gt;=AF369-5)*($AF$2:$AF$401&lt;=AF369-1)*($M$2:$M$401&lt;&gt;""),$M$2:$M$401)),""))</f>
        <v/>
      </c>
      <c r="AH369" s="16" t="str">
        <f aca="false">IF(AND(ISNUMBER(M369),ISNUMBER(AG369)),IF(AG369&gt;0,M369/AG369,""),"")</f>
        <v/>
      </c>
      <c r="AI369" s="15" t="str">
        <f aca="false" t="array" ref="AI369:AI369">IF(D369="","",IFERROR(MEDIAN(IF(($D$2:$D$401=D369)*($AF$2:$AF$401&gt;=AF369-5)*($AF$2:$AF$401&lt;=AF369-1)*($N$2:$N$401&lt;&gt;""),$N$2:$N$401)),""))</f>
        <v/>
      </c>
      <c r="AJ369" s="16" t="str">
        <f aca="false">IF(AND(ISNUMBER(N369),ISNUMBER(AI369)),IF(AI369&gt;0,N369/AI369,""),"")</f>
        <v/>
      </c>
      <c r="AK369" s="12" t="str">
        <f aca="false" t="array" ref="AK369:AK369">IF(D369="","",IFERROR(MEDIAN(IF(($D$2:$D$401=D369)*ISNUMBER($R$2:$R$401),$R$2:$R$401)),""))</f>
        <v/>
      </c>
      <c r="AL369" s="17" t="str">
        <f aca="false">IF(ISNUMBER(AJ369),IF(AND(AJ369&gt;=Resumen!$C$5,OR(NOT(ISNUMBER(R369)),NOT(ISNUMBER(AK369)),R369&gt;=AK369)),"Ganador",IF(AJ369&lt;=Resumen!$C$6,"Perdedor","Normal")),IF(ISNUMBER(AH369),IF(AH369&gt;=Resumen!$C$5,"Ganador (7 d, provisional)",IF(AH369&lt;=Resumen!$C$6,"Perdedor (7 d, provisional)","Normal (7 d, provisional)")),""))</f>
        <v/>
      </c>
      <c r="AM369" s="18" t="str">
        <f aca="false">IF(AND(ISNUMBER(Z369),ISNUMBER(N369)),IF(N369&gt;0,Z369/N369*1000,""),"")</f>
        <v/>
      </c>
      <c r="AN369" s="19" t="str">
        <f aca="false">IF(AND(ISNUMBER(U369),ISNUMBER(N369)),IF(N369&gt;0,U369/N369*1000,""),"")</f>
        <v/>
      </c>
    </row>
    <row r="370" customFormat="false" ht="15" hidden="false" customHeight="false" outlineLevel="0" collapsed="false">
      <c r="A370" s="7"/>
      <c r="B370" s="7"/>
      <c r="C370" s="8"/>
      <c r="D370" s="7"/>
      <c r="E370" s="7"/>
      <c r="F370" s="7"/>
      <c r="G370" s="7"/>
      <c r="H370" s="7"/>
      <c r="I370" s="7"/>
      <c r="J370" s="7"/>
      <c r="K370" s="9"/>
      <c r="L370" s="10"/>
      <c r="M370" s="10"/>
      <c r="N370" s="10"/>
      <c r="O370" s="10"/>
      <c r="P370" s="11"/>
      <c r="Q370" s="9"/>
      <c r="R370" s="12" t="str">
        <f aca="false">IF(AND(ISNUMBER(K370),ISNUMBER(Q370),K370&gt;0),Q370/K370,"")</f>
        <v/>
      </c>
      <c r="S370" s="11"/>
      <c r="T370" s="9"/>
      <c r="U370" s="10"/>
      <c r="V370" s="11"/>
      <c r="W370" s="11"/>
      <c r="X370" s="11"/>
      <c r="Y370" s="12" t="str">
        <f aca="false">IF(COUNT(V370:X370)=0,"",MAX(0,1-SUM(V370:X370)))</f>
        <v/>
      </c>
      <c r="Z370" s="13"/>
      <c r="AA370" s="9"/>
      <c r="AB370" s="7"/>
      <c r="AC370" s="7"/>
      <c r="AD370" s="7"/>
      <c r="AE370" s="7"/>
      <c r="AF370" s="14" t="str">
        <f aca="false">IF(D370="","",COUNTIF($D$2:D370,D370))</f>
        <v/>
      </c>
      <c r="AG370" s="15" t="str">
        <f aca="false" t="array" ref="AG370:AG370">IF(D370="","",IFERROR(MEDIAN(IF(($D$2:$D$401=D370)*($AF$2:$AF$401&gt;=AF370-5)*($AF$2:$AF$401&lt;=AF370-1)*($M$2:$M$401&lt;&gt;""),$M$2:$M$401)),""))</f>
        <v/>
      </c>
      <c r="AH370" s="16" t="str">
        <f aca="false">IF(AND(ISNUMBER(M370),ISNUMBER(AG370)),IF(AG370&gt;0,M370/AG370,""),"")</f>
        <v/>
      </c>
      <c r="AI370" s="15" t="str">
        <f aca="false" t="array" ref="AI370:AI370">IF(D370="","",IFERROR(MEDIAN(IF(($D$2:$D$401=D370)*($AF$2:$AF$401&gt;=AF370-5)*($AF$2:$AF$401&lt;=AF370-1)*($N$2:$N$401&lt;&gt;""),$N$2:$N$401)),""))</f>
        <v/>
      </c>
      <c r="AJ370" s="16" t="str">
        <f aca="false">IF(AND(ISNUMBER(N370),ISNUMBER(AI370)),IF(AI370&gt;0,N370/AI370,""),"")</f>
        <v/>
      </c>
      <c r="AK370" s="12" t="str">
        <f aca="false" t="array" ref="AK370:AK370">IF(D370="","",IFERROR(MEDIAN(IF(($D$2:$D$401=D370)*ISNUMBER($R$2:$R$401),$R$2:$R$401)),""))</f>
        <v/>
      </c>
      <c r="AL370" s="17" t="str">
        <f aca="false">IF(ISNUMBER(AJ370),IF(AND(AJ370&gt;=Resumen!$C$5,OR(NOT(ISNUMBER(R370)),NOT(ISNUMBER(AK370)),R370&gt;=AK370)),"Ganador",IF(AJ370&lt;=Resumen!$C$6,"Perdedor","Normal")),IF(ISNUMBER(AH370),IF(AH370&gt;=Resumen!$C$5,"Ganador (7 d, provisional)",IF(AH370&lt;=Resumen!$C$6,"Perdedor (7 d, provisional)","Normal (7 d, provisional)")),""))</f>
        <v/>
      </c>
      <c r="AM370" s="18" t="str">
        <f aca="false">IF(AND(ISNUMBER(Z370),ISNUMBER(N370)),IF(N370&gt;0,Z370/N370*1000,""),"")</f>
        <v/>
      </c>
      <c r="AN370" s="19" t="str">
        <f aca="false">IF(AND(ISNUMBER(U370),ISNUMBER(N370)),IF(N370&gt;0,U370/N370*1000,""),"")</f>
        <v/>
      </c>
    </row>
    <row r="371" customFormat="false" ht="15" hidden="false" customHeight="false" outlineLevel="0" collapsed="false">
      <c r="A371" s="7"/>
      <c r="B371" s="7"/>
      <c r="C371" s="8"/>
      <c r="D371" s="7"/>
      <c r="E371" s="7"/>
      <c r="F371" s="7"/>
      <c r="G371" s="7"/>
      <c r="H371" s="7"/>
      <c r="I371" s="7"/>
      <c r="J371" s="7"/>
      <c r="K371" s="9"/>
      <c r="L371" s="10"/>
      <c r="M371" s="10"/>
      <c r="N371" s="10"/>
      <c r="O371" s="10"/>
      <c r="P371" s="11"/>
      <c r="Q371" s="9"/>
      <c r="R371" s="12" t="str">
        <f aca="false">IF(AND(ISNUMBER(K371),ISNUMBER(Q371),K371&gt;0),Q371/K371,"")</f>
        <v/>
      </c>
      <c r="S371" s="11"/>
      <c r="T371" s="9"/>
      <c r="U371" s="10"/>
      <c r="V371" s="11"/>
      <c r="W371" s="11"/>
      <c r="X371" s="11"/>
      <c r="Y371" s="12" t="str">
        <f aca="false">IF(COUNT(V371:X371)=0,"",MAX(0,1-SUM(V371:X371)))</f>
        <v/>
      </c>
      <c r="Z371" s="13"/>
      <c r="AA371" s="9"/>
      <c r="AB371" s="7"/>
      <c r="AC371" s="7"/>
      <c r="AD371" s="7"/>
      <c r="AE371" s="7"/>
      <c r="AF371" s="14" t="str">
        <f aca="false">IF(D371="","",COUNTIF($D$2:D371,D371))</f>
        <v/>
      </c>
      <c r="AG371" s="15" t="str">
        <f aca="false" t="array" ref="AG371:AG371">IF(D371="","",IFERROR(MEDIAN(IF(($D$2:$D$401=D371)*($AF$2:$AF$401&gt;=AF371-5)*($AF$2:$AF$401&lt;=AF371-1)*($M$2:$M$401&lt;&gt;""),$M$2:$M$401)),""))</f>
        <v/>
      </c>
      <c r="AH371" s="16" t="str">
        <f aca="false">IF(AND(ISNUMBER(M371),ISNUMBER(AG371)),IF(AG371&gt;0,M371/AG371,""),"")</f>
        <v/>
      </c>
      <c r="AI371" s="15" t="str">
        <f aca="false" t="array" ref="AI371:AI371">IF(D371="","",IFERROR(MEDIAN(IF(($D$2:$D$401=D371)*($AF$2:$AF$401&gt;=AF371-5)*($AF$2:$AF$401&lt;=AF371-1)*($N$2:$N$401&lt;&gt;""),$N$2:$N$401)),""))</f>
        <v/>
      </c>
      <c r="AJ371" s="16" t="str">
        <f aca="false">IF(AND(ISNUMBER(N371),ISNUMBER(AI371)),IF(AI371&gt;0,N371/AI371,""),"")</f>
        <v/>
      </c>
      <c r="AK371" s="12" t="str">
        <f aca="false" t="array" ref="AK371:AK371">IF(D371="","",IFERROR(MEDIAN(IF(($D$2:$D$401=D371)*ISNUMBER($R$2:$R$401),$R$2:$R$401)),""))</f>
        <v/>
      </c>
      <c r="AL371" s="17" t="str">
        <f aca="false">IF(ISNUMBER(AJ371),IF(AND(AJ371&gt;=Resumen!$C$5,OR(NOT(ISNUMBER(R371)),NOT(ISNUMBER(AK371)),R371&gt;=AK371)),"Ganador",IF(AJ371&lt;=Resumen!$C$6,"Perdedor","Normal")),IF(ISNUMBER(AH371),IF(AH371&gt;=Resumen!$C$5,"Ganador (7 d, provisional)",IF(AH371&lt;=Resumen!$C$6,"Perdedor (7 d, provisional)","Normal (7 d, provisional)")),""))</f>
        <v/>
      </c>
      <c r="AM371" s="18" t="str">
        <f aca="false">IF(AND(ISNUMBER(Z371),ISNUMBER(N371)),IF(N371&gt;0,Z371/N371*1000,""),"")</f>
        <v/>
      </c>
      <c r="AN371" s="19" t="str">
        <f aca="false">IF(AND(ISNUMBER(U371),ISNUMBER(N371)),IF(N371&gt;0,U371/N371*1000,""),"")</f>
        <v/>
      </c>
    </row>
    <row r="372" customFormat="false" ht="15" hidden="false" customHeight="false" outlineLevel="0" collapsed="false">
      <c r="A372" s="7"/>
      <c r="B372" s="7"/>
      <c r="C372" s="8"/>
      <c r="D372" s="7"/>
      <c r="E372" s="7"/>
      <c r="F372" s="7"/>
      <c r="G372" s="7"/>
      <c r="H372" s="7"/>
      <c r="I372" s="7"/>
      <c r="J372" s="7"/>
      <c r="K372" s="9"/>
      <c r="L372" s="10"/>
      <c r="M372" s="10"/>
      <c r="N372" s="10"/>
      <c r="O372" s="10"/>
      <c r="P372" s="11"/>
      <c r="Q372" s="9"/>
      <c r="R372" s="12" t="str">
        <f aca="false">IF(AND(ISNUMBER(K372),ISNUMBER(Q372),K372&gt;0),Q372/K372,"")</f>
        <v/>
      </c>
      <c r="S372" s="11"/>
      <c r="T372" s="9"/>
      <c r="U372" s="10"/>
      <c r="V372" s="11"/>
      <c r="W372" s="11"/>
      <c r="X372" s="11"/>
      <c r="Y372" s="12" t="str">
        <f aca="false">IF(COUNT(V372:X372)=0,"",MAX(0,1-SUM(V372:X372)))</f>
        <v/>
      </c>
      <c r="Z372" s="13"/>
      <c r="AA372" s="9"/>
      <c r="AB372" s="7"/>
      <c r="AC372" s="7"/>
      <c r="AD372" s="7"/>
      <c r="AE372" s="7"/>
      <c r="AF372" s="14" t="str">
        <f aca="false">IF(D372="","",COUNTIF($D$2:D372,D372))</f>
        <v/>
      </c>
      <c r="AG372" s="15" t="str">
        <f aca="false" t="array" ref="AG372:AG372">IF(D372="","",IFERROR(MEDIAN(IF(($D$2:$D$401=D372)*($AF$2:$AF$401&gt;=AF372-5)*($AF$2:$AF$401&lt;=AF372-1)*($M$2:$M$401&lt;&gt;""),$M$2:$M$401)),""))</f>
        <v/>
      </c>
      <c r="AH372" s="16" t="str">
        <f aca="false">IF(AND(ISNUMBER(M372),ISNUMBER(AG372)),IF(AG372&gt;0,M372/AG372,""),"")</f>
        <v/>
      </c>
      <c r="AI372" s="15" t="str">
        <f aca="false" t="array" ref="AI372:AI372">IF(D372="","",IFERROR(MEDIAN(IF(($D$2:$D$401=D372)*($AF$2:$AF$401&gt;=AF372-5)*($AF$2:$AF$401&lt;=AF372-1)*($N$2:$N$401&lt;&gt;""),$N$2:$N$401)),""))</f>
        <v/>
      </c>
      <c r="AJ372" s="16" t="str">
        <f aca="false">IF(AND(ISNUMBER(N372),ISNUMBER(AI372)),IF(AI372&gt;0,N372/AI372,""),"")</f>
        <v/>
      </c>
      <c r="AK372" s="12" t="str">
        <f aca="false" t="array" ref="AK372:AK372">IF(D372="","",IFERROR(MEDIAN(IF(($D$2:$D$401=D372)*ISNUMBER($R$2:$R$401),$R$2:$R$401)),""))</f>
        <v/>
      </c>
      <c r="AL372" s="17" t="str">
        <f aca="false">IF(ISNUMBER(AJ372),IF(AND(AJ372&gt;=Resumen!$C$5,OR(NOT(ISNUMBER(R372)),NOT(ISNUMBER(AK372)),R372&gt;=AK372)),"Ganador",IF(AJ372&lt;=Resumen!$C$6,"Perdedor","Normal")),IF(ISNUMBER(AH372),IF(AH372&gt;=Resumen!$C$5,"Ganador (7 d, provisional)",IF(AH372&lt;=Resumen!$C$6,"Perdedor (7 d, provisional)","Normal (7 d, provisional)")),""))</f>
        <v/>
      </c>
      <c r="AM372" s="18" t="str">
        <f aca="false">IF(AND(ISNUMBER(Z372),ISNUMBER(N372)),IF(N372&gt;0,Z372/N372*1000,""),"")</f>
        <v/>
      </c>
      <c r="AN372" s="19" t="str">
        <f aca="false">IF(AND(ISNUMBER(U372),ISNUMBER(N372)),IF(N372&gt;0,U372/N372*1000,""),"")</f>
        <v/>
      </c>
    </row>
    <row r="373" customFormat="false" ht="15" hidden="false" customHeight="false" outlineLevel="0" collapsed="false">
      <c r="A373" s="7"/>
      <c r="B373" s="7"/>
      <c r="C373" s="8"/>
      <c r="D373" s="7"/>
      <c r="E373" s="7"/>
      <c r="F373" s="7"/>
      <c r="G373" s="7"/>
      <c r="H373" s="7"/>
      <c r="I373" s="7"/>
      <c r="J373" s="7"/>
      <c r="K373" s="9"/>
      <c r="L373" s="10"/>
      <c r="M373" s="10"/>
      <c r="N373" s="10"/>
      <c r="O373" s="10"/>
      <c r="P373" s="11"/>
      <c r="Q373" s="9"/>
      <c r="R373" s="12" t="str">
        <f aca="false">IF(AND(ISNUMBER(K373),ISNUMBER(Q373),K373&gt;0),Q373/K373,"")</f>
        <v/>
      </c>
      <c r="S373" s="11"/>
      <c r="T373" s="9"/>
      <c r="U373" s="10"/>
      <c r="V373" s="11"/>
      <c r="W373" s="11"/>
      <c r="X373" s="11"/>
      <c r="Y373" s="12" t="str">
        <f aca="false">IF(COUNT(V373:X373)=0,"",MAX(0,1-SUM(V373:X373)))</f>
        <v/>
      </c>
      <c r="Z373" s="13"/>
      <c r="AA373" s="9"/>
      <c r="AB373" s="7"/>
      <c r="AC373" s="7"/>
      <c r="AD373" s="7"/>
      <c r="AE373" s="7"/>
      <c r="AF373" s="14" t="str">
        <f aca="false">IF(D373="","",COUNTIF($D$2:D373,D373))</f>
        <v/>
      </c>
      <c r="AG373" s="15" t="str">
        <f aca="false" t="array" ref="AG373:AG373">IF(D373="","",IFERROR(MEDIAN(IF(($D$2:$D$401=D373)*($AF$2:$AF$401&gt;=AF373-5)*($AF$2:$AF$401&lt;=AF373-1)*($M$2:$M$401&lt;&gt;""),$M$2:$M$401)),""))</f>
        <v/>
      </c>
      <c r="AH373" s="16" t="str">
        <f aca="false">IF(AND(ISNUMBER(M373),ISNUMBER(AG373)),IF(AG373&gt;0,M373/AG373,""),"")</f>
        <v/>
      </c>
      <c r="AI373" s="15" t="str">
        <f aca="false" t="array" ref="AI373:AI373">IF(D373="","",IFERROR(MEDIAN(IF(($D$2:$D$401=D373)*($AF$2:$AF$401&gt;=AF373-5)*($AF$2:$AF$401&lt;=AF373-1)*($N$2:$N$401&lt;&gt;""),$N$2:$N$401)),""))</f>
        <v/>
      </c>
      <c r="AJ373" s="16" t="str">
        <f aca="false">IF(AND(ISNUMBER(N373),ISNUMBER(AI373)),IF(AI373&gt;0,N373/AI373,""),"")</f>
        <v/>
      </c>
      <c r="AK373" s="12" t="str">
        <f aca="false" t="array" ref="AK373:AK373">IF(D373="","",IFERROR(MEDIAN(IF(($D$2:$D$401=D373)*ISNUMBER($R$2:$R$401),$R$2:$R$401)),""))</f>
        <v/>
      </c>
      <c r="AL373" s="17" t="str">
        <f aca="false">IF(ISNUMBER(AJ373),IF(AND(AJ373&gt;=Resumen!$C$5,OR(NOT(ISNUMBER(R373)),NOT(ISNUMBER(AK373)),R373&gt;=AK373)),"Ganador",IF(AJ373&lt;=Resumen!$C$6,"Perdedor","Normal")),IF(ISNUMBER(AH373),IF(AH373&gt;=Resumen!$C$5,"Ganador (7 d, provisional)",IF(AH373&lt;=Resumen!$C$6,"Perdedor (7 d, provisional)","Normal (7 d, provisional)")),""))</f>
        <v/>
      </c>
      <c r="AM373" s="18" t="str">
        <f aca="false">IF(AND(ISNUMBER(Z373),ISNUMBER(N373)),IF(N373&gt;0,Z373/N373*1000,""),"")</f>
        <v/>
      </c>
      <c r="AN373" s="19" t="str">
        <f aca="false">IF(AND(ISNUMBER(U373),ISNUMBER(N373)),IF(N373&gt;0,U373/N373*1000,""),"")</f>
        <v/>
      </c>
    </row>
    <row r="374" customFormat="false" ht="15" hidden="false" customHeight="false" outlineLevel="0" collapsed="false">
      <c r="A374" s="7"/>
      <c r="B374" s="7"/>
      <c r="C374" s="8"/>
      <c r="D374" s="7"/>
      <c r="E374" s="7"/>
      <c r="F374" s="7"/>
      <c r="G374" s="7"/>
      <c r="H374" s="7"/>
      <c r="I374" s="7"/>
      <c r="J374" s="7"/>
      <c r="K374" s="9"/>
      <c r="L374" s="10"/>
      <c r="M374" s="10"/>
      <c r="N374" s="10"/>
      <c r="O374" s="10"/>
      <c r="P374" s="11"/>
      <c r="Q374" s="9"/>
      <c r="R374" s="12" t="str">
        <f aca="false">IF(AND(ISNUMBER(K374),ISNUMBER(Q374),K374&gt;0),Q374/K374,"")</f>
        <v/>
      </c>
      <c r="S374" s="11"/>
      <c r="T374" s="9"/>
      <c r="U374" s="10"/>
      <c r="V374" s="11"/>
      <c r="W374" s="11"/>
      <c r="X374" s="11"/>
      <c r="Y374" s="12" t="str">
        <f aca="false">IF(COUNT(V374:X374)=0,"",MAX(0,1-SUM(V374:X374)))</f>
        <v/>
      </c>
      <c r="Z374" s="13"/>
      <c r="AA374" s="9"/>
      <c r="AB374" s="7"/>
      <c r="AC374" s="7"/>
      <c r="AD374" s="7"/>
      <c r="AE374" s="7"/>
      <c r="AF374" s="14" t="str">
        <f aca="false">IF(D374="","",COUNTIF($D$2:D374,D374))</f>
        <v/>
      </c>
      <c r="AG374" s="15" t="str">
        <f aca="false" t="array" ref="AG374:AG374">IF(D374="","",IFERROR(MEDIAN(IF(($D$2:$D$401=D374)*($AF$2:$AF$401&gt;=AF374-5)*($AF$2:$AF$401&lt;=AF374-1)*($M$2:$M$401&lt;&gt;""),$M$2:$M$401)),""))</f>
        <v/>
      </c>
      <c r="AH374" s="16" t="str">
        <f aca="false">IF(AND(ISNUMBER(M374),ISNUMBER(AG374)),IF(AG374&gt;0,M374/AG374,""),"")</f>
        <v/>
      </c>
      <c r="AI374" s="15" t="str">
        <f aca="false" t="array" ref="AI374:AI374">IF(D374="","",IFERROR(MEDIAN(IF(($D$2:$D$401=D374)*($AF$2:$AF$401&gt;=AF374-5)*($AF$2:$AF$401&lt;=AF374-1)*($N$2:$N$401&lt;&gt;""),$N$2:$N$401)),""))</f>
        <v/>
      </c>
      <c r="AJ374" s="16" t="str">
        <f aca="false">IF(AND(ISNUMBER(N374),ISNUMBER(AI374)),IF(AI374&gt;0,N374/AI374,""),"")</f>
        <v/>
      </c>
      <c r="AK374" s="12" t="str">
        <f aca="false" t="array" ref="AK374:AK374">IF(D374="","",IFERROR(MEDIAN(IF(($D$2:$D$401=D374)*ISNUMBER($R$2:$R$401),$R$2:$R$401)),""))</f>
        <v/>
      </c>
      <c r="AL374" s="17" t="str">
        <f aca="false">IF(ISNUMBER(AJ374),IF(AND(AJ374&gt;=Resumen!$C$5,OR(NOT(ISNUMBER(R374)),NOT(ISNUMBER(AK374)),R374&gt;=AK374)),"Ganador",IF(AJ374&lt;=Resumen!$C$6,"Perdedor","Normal")),IF(ISNUMBER(AH374),IF(AH374&gt;=Resumen!$C$5,"Ganador (7 d, provisional)",IF(AH374&lt;=Resumen!$C$6,"Perdedor (7 d, provisional)","Normal (7 d, provisional)")),""))</f>
        <v/>
      </c>
      <c r="AM374" s="18" t="str">
        <f aca="false">IF(AND(ISNUMBER(Z374),ISNUMBER(N374)),IF(N374&gt;0,Z374/N374*1000,""),"")</f>
        <v/>
      </c>
      <c r="AN374" s="19" t="str">
        <f aca="false">IF(AND(ISNUMBER(U374),ISNUMBER(N374)),IF(N374&gt;0,U374/N374*1000,""),"")</f>
        <v/>
      </c>
    </row>
    <row r="375" customFormat="false" ht="15" hidden="false" customHeight="false" outlineLevel="0" collapsed="false">
      <c r="A375" s="7"/>
      <c r="B375" s="7"/>
      <c r="C375" s="8"/>
      <c r="D375" s="7"/>
      <c r="E375" s="7"/>
      <c r="F375" s="7"/>
      <c r="G375" s="7"/>
      <c r="H375" s="7"/>
      <c r="I375" s="7"/>
      <c r="J375" s="7"/>
      <c r="K375" s="9"/>
      <c r="L375" s="10"/>
      <c r="M375" s="10"/>
      <c r="N375" s="10"/>
      <c r="O375" s="10"/>
      <c r="P375" s="11"/>
      <c r="Q375" s="9"/>
      <c r="R375" s="12" t="str">
        <f aca="false">IF(AND(ISNUMBER(K375),ISNUMBER(Q375),K375&gt;0),Q375/K375,"")</f>
        <v/>
      </c>
      <c r="S375" s="11"/>
      <c r="T375" s="9"/>
      <c r="U375" s="10"/>
      <c r="V375" s="11"/>
      <c r="W375" s="11"/>
      <c r="X375" s="11"/>
      <c r="Y375" s="12" t="str">
        <f aca="false">IF(COUNT(V375:X375)=0,"",MAX(0,1-SUM(V375:X375)))</f>
        <v/>
      </c>
      <c r="Z375" s="13"/>
      <c r="AA375" s="9"/>
      <c r="AB375" s="7"/>
      <c r="AC375" s="7"/>
      <c r="AD375" s="7"/>
      <c r="AE375" s="7"/>
      <c r="AF375" s="14" t="str">
        <f aca="false">IF(D375="","",COUNTIF($D$2:D375,D375))</f>
        <v/>
      </c>
      <c r="AG375" s="15" t="str">
        <f aca="false" t="array" ref="AG375:AG375">IF(D375="","",IFERROR(MEDIAN(IF(($D$2:$D$401=D375)*($AF$2:$AF$401&gt;=AF375-5)*($AF$2:$AF$401&lt;=AF375-1)*($M$2:$M$401&lt;&gt;""),$M$2:$M$401)),""))</f>
        <v/>
      </c>
      <c r="AH375" s="16" t="str">
        <f aca="false">IF(AND(ISNUMBER(M375),ISNUMBER(AG375)),IF(AG375&gt;0,M375/AG375,""),"")</f>
        <v/>
      </c>
      <c r="AI375" s="15" t="str">
        <f aca="false" t="array" ref="AI375:AI375">IF(D375="","",IFERROR(MEDIAN(IF(($D$2:$D$401=D375)*($AF$2:$AF$401&gt;=AF375-5)*($AF$2:$AF$401&lt;=AF375-1)*($N$2:$N$401&lt;&gt;""),$N$2:$N$401)),""))</f>
        <v/>
      </c>
      <c r="AJ375" s="16" t="str">
        <f aca="false">IF(AND(ISNUMBER(N375),ISNUMBER(AI375)),IF(AI375&gt;0,N375/AI375,""),"")</f>
        <v/>
      </c>
      <c r="AK375" s="12" t="str">
        <f aca="false" t="array" ref="AK375:AK375">IF(D375="","",IFERROR(MEDIAN(IF(($D$2:$D$401=D375)*ISNUMBER($R$2:$R$401),$R$2:$R$401)),""))</f>
        <v/>
      </c>
      <c r="AL375" s="17" t="str">
        <f aca="false">IF(ISNUMBER(AJ375),IF(AND(AJ375&gt;=Resumen!$C$5,OR(NOT(ISNUMBER(R375)),NOT(ISNUMBER(AK375)),R375&gt;=AK375)),"Ganador",IF(AJ375&lt;=Resumen!$C$6,"Perdedor","Normal")),IF(ISNUMBER(AH375),IF(AH375&gt;=Resumen!$C$5,"Ganador (7 d, provisional)",IF(AH375&lt;=Resumen!$C$6,"Perdedor (7 d, provisional)","Normal (7 d, provisional)")),""))</f>
        <v/>
      </c>
      <c r="AM375" s="18" t="str">
        <f aca="false">IF(AND(ISNUMBER(Z375),ISNUMBER(N375)),IF(N375&gt;0,Z375/N375*1000,""),"")</f>
        <v/>
      </c>
      <c r="AN375" s="19" t="str">
        <f aca="false">IF(AND(ISNUMBER(U375),ISNUMBER(N375)),IF(N375&gt;0,U375/N375*1000,""),"")</f>
        <v/>
      </c>
    </row>
    <row r="376" customFormat="false" ht="15" hidden="false" customHeight="false" outlineLevel="0" collapsed="false">
      <c r="A376" s="7"/>
      <c r="B376" s="7"/>
      <c r="C376" s="8"/>
      <c r="D376" s="7"/>
      <c r="E376" s="7"/>
      <c r="F376" s="7"/>
      <c r="G376" s="7"/>
      <c r="H376" s="7"/>
      <c r="I376" s="7"/>
      <c r="J376" s="7"/>
      <c r="K376" s="9"/>
      <c r="L376" s="10"/>
      <c r="M376" s="10"/>
      <c r="N376" s="10"/>
      <c r="O376" s="10"/>
      <c r="P376" s="11"/>
      <c r="Q376" s="9"/>
      <c r="R376" s="12" t="str">
        <f aca="false">IF(AND(ISNUMBER(K376),ISNUMBER(Q376),K376&gt;0),Q376/K376,"")</f>
        <v/>
      </c>
      <c r="S376" s="11"/>
      <c r="T376" s="9"/>
      <c r="U376" s="10"/>
      <c r="V376" s="11"/>
      <c r="W376" s="11"/>
      <c r="X376" s="11"/>
      <c r="Y376" s="12" t="str">
        <f aca="false">IF(COUNT(V376:X376)=0,"",MAX(0,1-SUM(V376:X376)))</f>
        <v/>
      </c>
      <c r="Z376" s="13"/>
      <c r="AA376" s="9"/>
      <c r="AB376" s="7"/>
      <c r="AC376" s="7"/>
      <c r="AD376" s="7"/>
      <c r="AE376" s="7"/>
      <c r="AF376" s="14" t="str">
        <f aca="false">IF(D376="","",COUNTIF($D$2:D376,D376))</f>
        <v/>
      </c>
      <c r="AG376" s="15" t="str">
        <f aca="false" t="array" ref="AG376:AG376">IF(D376="","",IFERROR(MEDIAN(IF(($D$2:$D$401=D376)*($AF$2:$AF$401&gt;=AF376-5)*($AF$2:$AF$401&lt;=AF376-1)*($M$2:$M$401&lt;&gt;""),$M$2:$M$401)),""))</f>
        <v/>
      </c>
      <c r="AH376" s="16" t="str">
        <f aca="false">IF(AND(ISNUMBER(M376),ISNUMBER(AG376)),IF(AG376&gt;0,M376/AG376,""),"")</f>
        <v/>
      </c>
      <c r="AI376" s="15" t="str">
        <f aca="false" t="array" ref="AI376:AI376">IF(D376="","",IFERROR(MEDIAN(IF(($D$2:$D$401=D376)*($AF$2:$AF$401&gt;=AF376-5)*($AF$2:$AF$401&lt;=AF376-1)*($N$2:$N$401&lt;&gt;""),$N$2:$N$401)),""))</f>
        <v/>
      </c>
      <c r="AJ376" s="16" t="str">
        <f aca="false">IF(AND(ISNUMBER(N376),ISNUMBER(AI376)),IF(AI376&gt;0,N376/AI376,""),"")</f>
        <v/>
      </c>
      <c r="AK376" s="12" t="str">
        <f aca="false" t="array" ref="AK376:AK376">IF(D376="","",IFERROR(MEDIAN(IF(($D$2:$D$401=D376)*ISNUMBER($R$2:$R$401),$R$2:$R$401)),""))</f>
        <v/>
      </c>
      <c r="AL376" s="17" t="str">
        <f aca="false">IF(ISNUMBER(AJ376),IF(AND(AJ376&gt;=Resumen!$C$5,OR(NOT(ISNUMBER(R376)),NOT(ISNUMBER(AK376)),R376&gt;=AK376)),"Ganador",IF(AJ376&lt;=Resumen!$C$6,"Perdedor","Normal")),IF(ISNUMBER(AH376),IF(AH376&gt;=Resumen!$C$5,"Ganador (7 d, provisional)",IF(AH376&lt;=Resumen!$C$6,"Perdedor (7 d, provisional)","Normal (7 d, provisional)")),""))</f>
        <v/>
      </c>
      <c r="AM376" s="18" t="str">
        <f aca="false">IF(AND(ISNUMBER(Z376),ISNUMBER(N376)),IF(N376&gt;0,Z376/N376*1000,""),"")</f>
        <v/>
      </c>
      <c r="AN376" s="19" t="str">
        <f aca="false">IF(AND(ISNUMBER(U376),ISNUMBER(N376)),IF(N376&gt;0,U376/N376*1000,""),"")</f>
        <v/>
      </c>
    </row>
    <row r="377" customFormat="false" ht="15" hidden="false" customHeight="false" outlineLevel="0" collapsed="false">
      <c r="A377" s="7"/>
      <c r="B377" s="7"/>
      <c r="C377" s="8"/>
      <c r="D377" s="7"/>
      <c r="E377" s="7"/>
      <c r="F377" s="7"/>
      <c r="G377" s="7"/>
      <c r="H377" s="7"/>
      <c r="I377" s="7"/>
      <c r="J377" s="7"/>
      <c r="K377" s="9"/>
      <c r="L377" s="10"/>
      <c r="M377" s="10"/>
      <c r="N377" s="10"/>
      <c r="O377" s="10"/>
      <c r="P377" s="11"/>
      <c r="Q377" s="9"/>
      <c r="R377" s="12" t="str">
        <f aca="false">IF(AND(ISNUMBER(K377),ISNUMBER(Q377),K377&gt;0),Q377/K377,"")</f>
        <v/>
      </c>
      <c r="S377" s="11"/>
      <c r="T377" s="9"/>
      <c r="U377" s="10"/>
      <c r="V377" s="11"/>
      <c r="W377" s="11"/>
      <c r="X377" s="11"/>
      <c r="Y377" s="12" t="str">
        <f aca="false">IF(COUNT(V377:X377)=0,"",MAX(0,1-SUM(V377:X377)))</f>
        <v/>
      </c>
      <c r="Z377" s="13"/>
      <c r="AA377" s="9"/>
      <c r="AB377" s="7"/>
      <c r="AC377" s="7"/>
      <c r="AD377" s="7"/>
      <c r="AE377" s="7"/>
      <c r="AF377" s="14" t="str">
        <f aca="false">IF(D377="","",COUNTIF($D$2:D377,D377))</f>
        <v/>
      </c>
      <c r="AG377" s="15" t="str">
        <f aca="false" t="array" ref="AG377:AG377">IF(D377="","",IFERROR(MEDIAN(IF(($D$2:$D$401=D377)*($AF$2:$AF$401&gt;=AF377-5)*($AF$2:$AF$401&lt;=AF377-1)*($M$2:$M$401&lt;&gt;""),$M$2:$M$401)),""))</f>
        <v/>
      </c>
      <c r="AH377" s="16" t="str">
        <f aca="false">IF(AND(ISNUMBER(M377),ISNUMBER(AG377)),IF(AG377&gt;0,M377/AG377,""),"")</f>
        <v/>
      </c>
      <c r="AI377" s="15" t="str">
        <f aca="false" t="array" ref="AI377:AI377">IF(D377="","",IFERROR(MEDIAN(IF(($D$2:$D$401=D377)*($AF$2:$AF$401&gt;=AF377-5)*($AF$2:$AF$401&lt;=AF377-1)*($N$2:$N$401&lt;&gt;""),$N$2:$N$401)),""))</f>
        <v/>
      </c>
      <c r="AJ377" s="16" t="str">
        <f aca="false">IF(AND(ISNUMBER(N377),ISNUMBER(AI377)),IF(AI377&gt;0,N377/AI377,""),"")</f>
        <v/>
      </c>
      <c r="AK377" s="12" t="str">
        <f aca="false" t="array" ref="AK377:AK377">IF(D377="","",IFERROR(MEDIAN(IF(($D$2:$D$401=D377)*ISNUMBER($R$2:$R$401),$R$2:$R$401)),""))</f>
        <v/>
      </c>
      <c r="AL377" s="17" t="str">
        <f aca="false">IF(ISNUMBER(AJ377),IF(AND(AJ377&gt;=Resumen!$C$5,OR(NOT(ISNUMBER(R377)),NOT(ISNUMBER(AK377)),R377&gt;=AK377)),"Ganador",IF(AJ377&lt;=Resumen!$C$6,"Perdedor","Normal")),IF(ISNUMBER(AH377),IF(AH377&gt;=Resumen!$C$5,"Ganador (7 d, provisional)",IF(AH377&lt;=Resumen!$C$6,"Perdedor (7 d, provisional)","Normal (7 d, provisional)")),""))</f>
        <v/>
      </c>
      <c r="AM377" s="18" t="str">
        <f aca="false">IF(AND(ISNUMBER(Z377),ISNUMBER(N377)),IF(N377&gt;0,Z377/N377*1000,""),"")</f>
        <v/>
      </c>
      <c r="AN377" s="19" t="str">
        <f aca="false">IF(AND(ISNUMBER(U377),ISNUMBER(N377)),IF(N377&gt;0,U377/N377*1000,""),"")</f>
        <v/>
      </c>
    </row>
    <row r="378" customFormat="false" ht="15" hidden="false" customHeight="false" outlineLevel="0" collapsed="false">
      <c r="A378" s="7"/>
      <c r="B378" s="7"/>
      <c r="C378" s="8"/>
      <c r="D378" s="7"/>
      <c r="E378" s="7"/>
      <c r="F378" s="7"/>
      <c r="G378" s="7"/>
      <c r="H378" s="7"/>
      <c r="I378" s="7"/>
      <c r="J378" s="7"/>
      <c r="K378" s="9"/>
      <c r="L378" s="10"/>
      <c r="M378" s="10"/>
      <c r="N378" s="10"/>
      <c r="O378" s="10"/>
      <c r="P378" s="11"/>
      <c r="Q378" s="9"/>
      <c r="R378" s="12" t="str">
        <f aca="false">IF(AND(ISNUMBER(K378),ISNUMBER(Q378),K378&gt;0),Q378/K378,"")</f>
        <v/>
      </c>
      <c r="S378" s="11"/>
      <c r="T378" s="9"/>
      <c r="U378" s="10"/>
      <c r="V378" s="11"/>
      <c r="W378" s="11"/>
      <c r="X378" s="11"/>
      <c r="Y378" s="12" t="str">
        <f aca="false">IF(COUNT(V378:X378)=0,"",MAX(0,1-SUM(V378:X378)))</f>
        <v/>
      </c>
      <c r="Z378" s="13"/>
      <c r="AA378" s="9"/>
      <c r="AB378" s="7"/>
      <c r="AC378" s="7"/>
      <c r="AD378" s="7"/>
      <c r="AE378" s="7"/>
      <c r="AF378" s="14" t="str">
        <f aca="false">IF(D378="","",COUNTIF($D$2:D378,D378))</f>
        <v/>
      </c>
      <c r="AG378" s="15" t="str">
        <f aca="false" t="array" ref="AG378:AG378">IF(D378="","",IFERROR(MEDIAN(IF(($D$2:$D$401=D378)*($AF$2:$AF$401&gt;=AF378-5)*($AF$2:$AF$401&lt;=AF378-1)*($M$2:$M$401&lt;&gt;""),$M$2:$M$401)),""))</f>
        <v/>
      </c>
      <c r="AH378" s="16" t="str">
        <f aca="false">IF(AND(ISNUMBER(M378),ISNUMBER(AG378)),IF(AG378&gt;0,M378/AG378,""),"")</f>
        <v/>
      </c>
      <c r="AI378" s="15" t="str">
        <f aca="false" t="array" ref="AI378:AI378">IF(D378="","",IFERROR(MEDIAN(IF(($D$2:$D$401=D378)*($AF$2:$AF$401&gt;=AF378-5)*($AF$2:$AF$401&lt;=AF378-1)*($N$2:$N$401&lt;&gt;""),$N$2:$N$401)),""))</f>
        <v/>
      </c>
      <c r="AJ378" s="16" t="str">
        <f aca="false">IF(AND(ISNUMBER(N378),ISNUMBER(AI378)),IF(AI378&gt;0,N378/AI378,""),"")</f>
        <v/>
      </c>
      <c r="AK378" s="12" t="str">
        <f aca="false" t="array" ref="AK378:AK378">IF(D378="","",IFERROR(MEDIAN(IF(($D$2:$D$401=D378)*ISNUMBER($R$2:$R$401),$R$2:$R$401)),""))</f>
        <v/>
      </c>
      <c r="AL378" s="17" t="str">
        <f aca="false">IF(ISNUMBER(AJ378),IF(AND(AJ378&gt;=Resumen!$C$5,OR(NOT(ISNUMBER(R378)),NOT(ISNUMBER(AK378)),R378&gt;=AK378)),"Ganador",IF(AJ378&lt;=Resumen!$C$6,"Perdedor","Normal")),IF(ISNUMBER(AH378),IF(AH378&gt;=Resumen!$C$5,"Ganador (7 d, provisional)",IF(AH378&lt;=Resumen!$C$6,"Perdedor (7 d, provisional)","Normal (7 d, provisional)")),""))</f>
        <v/>
      </c>
      <c r="AM378" s="18" t="str">
        <f aca="false">IF(AND(ISNUMBER(Z378),ISNUMBER(N378)),IF(N378&gt;0,Z378/N378*1000,""),"")</f>
        <v/>
      </c>
      <c r="AN378" s="19" t="str">
        <f aca="false">IF(AND(ISNUMBER(U378),ISNUMBER(N378)),IF(N378&gt;0,U378/N378*1000,""),"")</f>
        <v/>
      </c>
    </row>
    <row r="379" customFormat="false" ht="15" hidden="false" customHeight="false" outlineLevel="0" collapsed="false">
      <c r="A379" s="7"/>
      <c r="B379" s="7"/>
      <c r="C379" s="8"/>
      <c r="D379" s="7"/>
      <c r="E379" s="7"/>
      <c r="F379" s="7"/>
      <c r="G379" s="7"/>
      <c r="H379" s="7"/>
      <c r="I379" s="7"/>
      <c r="J379" s="7"/>
      <c r="K379" s="9"/>
      <c r="L379" s="10"/>
      <c r="M379" s="10"/>
      <c r="N379" s="10"/>
      <c r="O379" s="10"/>
      <c r="P379" s="11"/>
      <c r="Q379" s="9"/>
      <c r="R379" s="12" t="str">
        <f aca="false">IF(AND(ISNUMBER(K379),ISNUMBER(Q379),K379&gt;0),Q379/K379,"")</f>
        <v/>
      </c>
      <c r="S379" s="11"/>
      <c r="T379" s="9"/>
      <c r="U379" s="10"/>
      <c r="V379" s="11"/>
      <c r="W379" s="11"/>
      <c r="X379" s="11"/>
      <c r="Y379" s="12" t="str">
        <f aca="false">IF(COUNT(V379:X379)=0,"",MAX(0,1-SUM(V379:X379)))</f>
        <v/>
      </c>
      <c r="Z379" s="13"/>
      <c r="AA379" s="9"/>
      <c r="AB379" s="7"/>
      <c r="AC379" s="7"/>
      <c r="AD379" s="7"/>
      <c r="AE379" s="7"/>
      <c r="AF379" s="14" t="str">
        <f aca="false">IF(D379="","",COUNTIF($D$2:D379,D379))</f>
        <v/>
      </c>
      <c r="AG379" s="15" t="str">
        <f aca="false" t="array" ref="AG379:AG379">IF(D379="","",IFERROR(MEDIAN(IF(($D$2:$D$401=D379)*($AF$2:$AF$401&gt;=AF379-5)*($AF$2:$AF$401&lt;=AF379-1)*($M$2:$M$401&lt;&gt;""),$M$2:$M$401)),""))</f>
        <v/>
      </c>
      <c r="AH379" s="16" t="str">
        <f aca="false">IF(AND(ISNUMBER(M379),ISNUMBER(AG379)),IF(AG379&gt;0,M379/AG379,""),"")</f>
        <v/>
      </c>
      <c r="AI379" s="15" t="str">
        <f aca="false" t="array" ref="AI379:AI379">IF(D379="","",IFERROR(MEDIAN(IF(($D$2:$D$401=D379)*($AF$2:$AF$401&gt;=AF379-5)*($AF$2:$AF$401&lt;=AF379-1)*($N$2:$N$401&lt;&gt;""),$N$2:$N$401)),""))</f>
        <v/>
      </c>
      <c r="AJ379" s="16" t="str">
        <f aca="false">IF(AND(ISNUMBER(N379),ISNUMBER(AI379)),IF(AI379&gt;0,N379/AI379,""),"")</f>
        <v/>
      </c>
      <c r="AK379" s="12" t="str">
        <f aca="false" t="array" ref="AK379:AK379">IF(D379="","",IFERROR(MEDIAN(IF(($D$2:$D$401=D379)*ISNUMBER($R$2:$R$401),$R$2:$R$401)),""))</f>
        <v/>
      </c>
      <c r="AL379" s="17" t="str">
        <f aca="false">IF(ISNUMBER(AJ379),IF(AND(AJ379&gt;=Resumen!$C$5,OR(NOT(ISNUMBER(R379)),NOT(ISNUMBER(AK379)),R379&gt;=AK379)),"Ganador",IF(AJ379&lt;=Resumen!$C$6,"Perdedor","Normal")),IF(ISNUMBER(AH379),IF(AH379&gt;=Resumen!$C$5,"Ganador (7 d, provisional)",IF(AH379&lt;=Resumen!$C$6,"Perdedor (7 d, provisional)","Normal (7 d, provisional)")),""))</f>
        <v/>
      </c>
      <c r="AM379" s="18" t="str">
        <f aca="false">IF(AND(ISNUMBER(Z379),ISNUMBER(N379)),IF(N379&gt;0,Z379/N379*1000,""),"")</f>
        <v/>
      </c>
      <c r="AN379" s="19" t="str">
        <f aca="false">IF(AND(ISNUMBER(U379),ISNUMBER(N379)),IF(N379&gt;0,U379/N379*1000,""),"")</f>
        <v/>
      </c>
    </row>
    <row r="380" customFormat="false" ht="15" hidden="false" customHeight="false" outlineLevel="0" collapsed="false">
      <c r="A380" s="7"/>
      <c r="B380" s="7"/>
      <c r="C380" s="8"/>
      <c r="D380" s="7"/>
      <c r="E380" s="7"/>
      <c r="F380" s="7"/>
      <c r="G380" s="7"/>
      <c r="H380" s="7"/>
      <c r="I380" s="7"/>
      <c r="J380" s="7"/>
      <c r="K380" s="9"/>
      <c r="L380" s="10"/>
      <c r="M380" s="10"/>
      <c r="N380" s="10"/>
      <c r="O380" s="10"/>
      <c r="P380" s="11"/>
      <c r="Q380" s="9"/>
      <c r="R380" s="12" t="str">
        <f aca="false">IF(AND(ISNUMBER(K380),ISNUMBER(Q380),K380&gt;0),Q380/K380,"")</f>
        <v/>
      </c>
      <c r="S380" s="11"/>
      <c r="T380" s="9"/>
      <c r="U380" s="10"/>
      <c r="V380" s="11"/>
      <c r="W380" s="11"/>
      <c r="X380" s="11"/>
      <c r="Y380" s="12" t="str">
        <f aca="false">IF(COUNT(V380:X380)=0,"",MAX(0,1-SUM(V380:X380)))</f>
        <v/>
      </c>
      <c r="Z380" s="13"/>
      <c r="AA380" s="9"/>
      <c r="AB380" s="7"/>
      <c r="AC380" s="7"/>
      <c r="AD380" s="7"/>
      <c r="AE380" s="7"/>
      <c r="AF380" s="14" t="str">
        <f aca="false">IF(D380="","",COUNTIF($D$2:D380,D380))</f>
        <v/>
      </c>
      <c r="AG380" s="15" t="str">
        <f aca="false" t="array" ref="AG380:AG380">IF(D380="","",IFERROR(MEDIAN(IF(($D$2:$D$401=D380)*($AF$2:$AF$401&gt;=AF380-5)*($AF$2:$AF$401&lt;=AF380-1)*($M$2:$M$401&lt;&gt;""),$M$2:$M$401)),""))</f>
        <v/>
      </c>
      <c r="AH380" s="16" t="str">
        <f aca="false">IF(AND(ISNUMBER(M380),ISNUMBER(AG380)),IF(AG380&gt;0,M380/AG380,""),"")</f>
        <v/>
      </c>
      <c r="AI380" s="15" t="str">
        <f aca="false" t="array" ref="AI380:AI380">IF(D380="","",IFERROR(MEDIAN(IF(($D$2:$D$401=D380)*($AF$2:$AF$401&gt;=AF380-5)*($AF$2:$AF$401&lt;=AF380-1)*($N$2:$N$401&lt;&gt;""),$N$2:$N$401)),""))</f>
        <v/>
      </c>
      <c r="AJ380" s="16" t="str">
        <f aca="false">IF(AND(ISNUMBER(N380),ISNUMBER(AI380)),IF(AI380&gt;0,N380/AI380,""),"")</f>
        <v/>
      </c>
      <c r="AK380" s="12" t="str">
        <f aca="false" t="array" ref="AK380:AK380">IF(D380="","",IFERROR(MEDIAN(IF(($D$2:$D$401=D380)*ISNUMBER($R$2:$R$401),$R$2:$R$401)),""))</f>
        <v/>
      </c>
      <c r="AL380" s="17" t="str">
        <f aca="false">IF(ISNUMBER(AJ380),IF(AND(AJ380&gt;=Resumen!$C$5,OR(NOT(ISNUMBER(R380)),NOT(ISNUMBER(AK380)),R380&gt;=AK380)),"Ganador",IF(AJ380&lt;=Resumen!$C$6,"Perdedor","Normal")),IF(ISNUMBER(AH380),IF(AH380&gt;=Resumen!$C$5,"Ganador (7 d, provisional)",IF(AH380&lt;=Resumen!$C$6,"Perdedor (7 d, provisional)","Normal (7 d, provisional)")),""))</f>
        <v/>
      </c>
      <c r="AM380" s="18" t="str">
        <f aca="false">IF(AND(ISNUMBER(Z380),ISNUMBER(N380)),IF(N380&gt;0,Z380/N380*1000,""),"")</f>
        <v/>
      </c>
      <c r="AN380" s="19" t="str">
        <f aca="false">IF(AND(ISNUMBER(U380),ISNUMBER(N380)),IF(N380&gt;0,U380/N380*1000,""),"")</f>
        <v/>
      </c>
    </row>
    <row r="381" customFormat="false" ht="15" hidden="false" customHeight="false" outlineLevel="0" collapsed="false">
      <c r="A381" s="7"/>
      <c r="B381" s="7"/>
      <c r="C381" s="8"/>
      <c r="D381" s="7"/>
      <c r="E381" s="7"/>
      <c r="F381" s="7"/>
      <c r="G381" s="7"/>
      <c r="H381" s="7"/>
      <c r="I381" s="7"/>
      <c r="J381" s="7"/>
      <c r="K381" s="9"/>
      <c r="L381" s="10"/>
      <c r="M381" s="10"/>
      <c r="N381" s="10"/>
      <c r="O381" s="10"/>
      <c r="P381" s="11"/>
      <c r="Q381" s="9"/>
      <c r="R381" s="12" t="str">
        <f aca="false">IF(AND(ISNUMBER(K381),ISNUMBER(Q381),K381&gt;0),Q381/K381,"")</f>
        <v/>
      </c>
      <c r="S381" s="11"/>
      <c r="T381" s="9"/>
      <c r="U381" s="10"/>
      <c r="V381" s="11"/>
      <c r="W381" s="11"/>
      <c r="X381" s="11"/>
      <c r="Y381" s="12" t="str">
        <f aca="false">IF(COUNT(V381:X381)=0,"",MAX(0,1-SUM(V381:X381)))</f>
        <v/>
      </c>
      <c r="Z381" s="13"/>
      <c r="AA381" s="9"/>
      <c r="AB381" s="7"/>
      <c r="AC381" s="7"/>
      <c r="AD381" s="7"/>
      <c r="AE381" s="7"/>
      <c r="AF381" s="14" t="str">
        <f aca="false">IF(D381="","",COUNTIF($D$2:D381,D381))</f>
        <v/>
      </c>
      <c r="AG381" s="15" t="str">
        <f aca="false" t="array" ref="AG381:AG381">IF(D381="","",IFERROR(MEDIAN(IF(($D$2:$D$401=D381)*($AF$2:$AF$401&gt;=AF381-5)*($AF$2:$AF$401&lt;=AF381-1)*($M$2:$M$401&lt;&gt;""),$M$2:$M$401)),""))</f>
        <v/>
      </c>
      <c r="AH381" s="16" t="str">
        <f aca="false">IF(AND(ISNUMBER(M381),ISNUMBER(AG381)),IF(AG381&gt;0,M381/AG381,""),"")</f>
        <v/>
      </c>
      <c r="AI381" s="15" t="str">
        <f aca="false" t="array" ref="AI381:AI381">IF(D381="","",IFERROR(MEDIAN(IF(($D$2:$D$401=D381)*($AF$2:$AF$401&gt;=AF381-5)*($AF$2:$AF$401&lt;=AF381-1)*($N$2:$N$401&lt;&gt;""),$N$2:$N$401)),""))</f>
        <v/>
      </c>
      <c r="AJ381" s="16" t="str">
        <f aca="false">IF(AND(ISNUMBER(N381),ISNUMBER(AI381)),IF(AI381&gt;0,N381/AI381,""),"")</f>
        <v/>
      </c>
      <c r="AK381" s="12" t="str">
        <f aca="false" t="array" ref="AK381:AK381">IF(D381="","",IFERROR(MEDIAN(IF(($D$2:$D$401=D381)*ISNUMBER($R$2:$R$401),$R$2:$R$401)),""))</f>
        <v/>
      </c>
      <c r="AL381" s="17" t="str">
        <f aca="false">IF(ISNUMBER(AJ381),IF(AND(AJ381&gt;=Resumen!$C$5,OR(NOT(ISNUMBER(R381)),NOT(ISNUMBER(AK381)),R381&gt;=AK381)),"Ganador",IF(AJ381&lt;=Resumen!$C$6,"Perdedor","Normal")),IF(ISNUMBER(AH381),IF(AH381&gt;=Resumen!$C$5,"Ganador (7 d, provisional)",IF(AH381&lt;=Resumen!$C$6,"Perdedor (7 d, provisional)","Normal (7 d, provisional)")),""))</f>
        <v/>
      </c>
      <c r="AM381" s="18" t="str">
        <f aca="false">IF(AND(ISNUMBER(Z381),ISNUMBER(N381)),IF(N381&gt;0,Z381/N381*1000,""),"")</f>
        <v/>
      </c>
      <c r="AN381" s="19" t="str">
        <f aca="false">IF(AND(ISNUMBER(U381),ISNUMBER(N381)),IF(N381&gt;0,U381/N381*1000,""),"")</f>
        <v/>
      </c>
    </row>
    <row r="382" customFormat="false" ht="15" hidden="false" customHeight="false" outlineLevel="0" collapsed="false">
      <c r="A382" s="7"/>
      <c r="B382" s="7"/>
      <c r="C382" s="8"/>
      <c r="D382" s="7"/>
      <c r="E382" s="7"/>
      <c r="F382" s="7"/>
      <c r="G382" s="7"/>
      <c r="H382" s="7"/>
      <c r="I382" s="7"/>
      <c r="J382" s="7"/>
      <c r="K382" s="9"/>
      <c r="L382" s="10"/>
      <c r="M382" s="10"/>
      <c r="N382" s="10"/>
      <c r="O382" s="10"/>
      <c r="P382" s="11"/>
      <c r="Q382" s="9"/>
      <c r="R382" s="12" t="str">
        <f aca="false">IF(AND(ISNUMBER(K382),ISNUMBER(Q382),K382&gt;0),Q382/K382,"")</f>
        <v/>
      </c>
      <c r="S382" s="11"/>
      <c r="T382" s="9"/>
      <c r="U382" s="10"/>
      <c r="V382" s="11"/>
      <c r="W382" s="11"/>
      <c r="X382" s="11"/>
      <c r="Y382" s="12" t="str">
        <f aca="false">IF(COUNT(V382:X382)=0,"",MAX(0,1-SUM(V382:X382)))</f>
        <v/>
      </c>
      <c r="Z382" s="13"/>
      <c r="AA382" s="9"/>
      <c r="AB382" s="7"/>
      <c r="AC382" s="7"/>
      <c r="AD382" s="7"/>
      <c r="AE382" s="7"/>
      <c r="AF382" s="14" t="str">
        <f aca="false">IF(D382="","",COUNTIF($D$2:D382,D382))</f>
        <v/>
      </c>
      <c r="AG382" s="15" t="str">
        <f aca="false" t="array" ref="AG382:AG382">IF(D382="","",IFERROR(MEDIAN(IF(($D$2:$D$401=D382)*($AF$2:$AF$401&gt;=AF382-5)*($AF$2:$AF$401&lt;=AF382-1)*($M$2:$M$401&lt;&gt;""),$M$2:$M$401)),""))</f>
        <v/>
      </c>
      <c r="AH382" s="16" t="str">
        <f aca="false">IF(AND(ISNUMBER(M382),ISNUMBER(AG382)),IF(AG382&gt;0,M382/AG382,""),"")</f>
        <v/>
      </c>
      <c r="AI382" s="15" t="str">
        <f aca="false" t="array" ref="AI382:AI382">IF(D382="","",IFERROR(MEDIAN(IF(($D$2:$D$401=D382)*($AF$2:$AF$401&gt;=AF382-5)*($AF$2:$AF$401&lt;=AF382-1)*($N$2:$N$401&lt;&gt;""),$N$2:$N$401)),""))</f>
        <v/>
      </c>
      <c r="AJ382" s="16" t="str">
        <f aca="false">IF(AND(ISNUMBER(N382),ISNUMBER(AI382)),IF(AI382&gt;0,N382/AI382,""),"")</f>
        <v/>
      </c>
      <c r="AK382" s="12" t="str">
        <f aca="false" t="array" ref="AK382:AK382">IF(D382="","",IFERROR(MEDIAN(IF(($D$2:$D$401=D382)*ISNUMBER($R$2:$R$401),$R$2:$R$401)),""))</f>
        <v/>
      </c>
      <c r="AL382" s="17" t="str">
        <f aca="false">IF(ISNUMBER(AJ382),IF(AND(AJ382&gt;=Resumen!$C$5,OR(NOT(ISNUMBER(R382)),NOT(ISNUMBER(AK382)),R382&gt;=AK382)),"Ganador",IF(AJ382&lt;=Resumen!$C$6,"Perdedor","Normal")),IF(ISNUMBER(AH382),IF(AH382&gt;=Resumen!$C$5,"Ganador (7 d, provisional)",IF(AH382&lt;=Resumen!$C$6,"Perdedor (7 d, provisional)","Normal (7 d, provisional)")),""))</f>
        <v/>
      </c>
      <c r="AM382" s="18" t="str">
        <f aca="false">IF(AND(ISNUMBER(Z382),ISNUMBER(N382)),IF(N382&gt;0,Z382/N382*1000,""),"")</f>
        <v/>
      </c>
      <c r="AN382" s="19" t="str">
        <f aca="false">IF(AND(ISNUMBER(U382),ISNUMBER(N382)),IF(N382&gt;0,U382/N382*1000,""),"")</f>
        <v/>
      </c>
    </row>
    <row r="383" customFormat="false" ht="15" hidden="false" customHeight="false" outlineLevel="0" collapsed="false">
      <c r="A383" s="7"/>
      <c r="B383" s="7"/>
      <c r="C383" s="8"/>
      <c r="D383" s="7"/>
      <c r="E383" s="7"/>
      <c r="F383" s="7"/>
      <c r="G383" s="7"/>
      <c r="H383" s="7"/>
      <c r="I383" s="7"/>
      <c r="J383" s="7"/>
      <c r="K383" s="9"/>
      <c r="L383" s="10"/>
      <c r="M383" s="10"/>
      <c r="N383" s="10"/>
      <c r="O383" s="10"/>
      <c r="P383" s="11"/>
      <c r="Q383" s="9"/>
      <c r="R383" s="12" t="str">
        <f aca="false">IF(AND(ISNUMBER(K383),ISNUMBER(Q383),K383&gt;0),Q383/K383,"")</f>
        <v/>
      </c>
      <c r="S383" s="11"/>
      <c r="T383" s="9"/>
      <c r="U383" s="10"/>
      <c r="V383" s="11"/>
      <c r="W383" s="11"/>
      <c r="X383" s="11"/>
      <c r="Y383" s="12" t="str">
        <f aca="false">IF(COUNT(V383:X383)=0,"",MAX(0,1-SUM(V383:X383)))</f>
        <v/>
      </c>
      <c r="Z383" s="13"/>
      <c r="AA383" s="9"/>
      <c r="AB383" s="7"/>
      <c r="AC383" s="7"/>
      <c r="AD383" s="7"/>
      <c r="AE383" s="7"/>
      <c r="AF383" s="14" t="str">
        <f aca="false">IF(D383="","",COUNTIF($D$2:D383,D383))</f>
        <v/>
      </c>
      <c r="AG383" s="15" t="str">
        <f aca="false" t="array" ref="AG383:AG383">IF(D383="","",IFERROR(MEDIAN(IF(($D$2:$D$401=D383)*($AF$2:$AF$401&gt;=AF383-5)*($AF$2:$AF$401&lt;=AF383-1)*($M$2:$M$401&lt;&gt;""),$M$2:$M$401)),""))</f>
        <v/>
      </c>
      <c r="AH383" s="16" t="str">
        <f aca="false">IF(AND(ISNUMBER(M383),ISNUMBER(AG383)),IF(AG383&gt;0,M383/AG383,""),"")</f>
        <v/>
      </c>
      <c r="AI383" s="15" t="str">
        <f aca="false" t="array" ref="AI383:AI383">IF(D383="","",IFERROR(MEDIAN(IF(($D$2:$D$401=D383)*($AF$2:$AF$401&gt;=AF383-5)*($AF$2:$AF$401&lt;=AF383-1)*($N$2:$N$401&lt;&gt;""),$N$2:$N$401)),""))</f>
        <v/>
      </c>
      <c r="AJ383" s="16" t="str">
        <f aca="false">IF(AND(ISNUMBER(N383),ISNUMBER(AI383)),IF(AI383&gt;0,N383/AI383,""),"")</f>
        <v/>
      </c>
      <c r="AK383" s="12" t="str">
        <f aca="false" t="array" ref="AK383:AK383">IF(D383="","",IFERROR(MEDIAN(IF(($D$2:$D$401=D383)*ISNUMBER($R$2:$R$401),$R$2:$R$401)),""))</f>
        <v/>
      </c>
      <c r="AL383" s="17" t="str">
        <f aca="false">IF(ISNUMBER(AJ383),IF(AND(AJ383&gt;=Resumen!$C$5,OR(NOT(ISNUMBER(R383)),NOT(ISNUMBER(AK383)),R383&gt;=AK383)),"Ganador",IF(AJ383&lt;=Resumen!$C$6,"Perdedor","Normal")),IF(ISNUMBER(AH383),IF(AH383&gt;=Resumen!$C$5,"Ganador (7 d, provisional)",IF(AH383&lt;=Resumen!$C$6,"Perdedor (7 d, provisional)","Normal (7 d, provisional)")),""))</f>
        <v/>
      </c>
      <c r="AM383" s="18" t="str">
        <f aca="false">IF(AND(ISNUMBER(Z383),ISNUMBER(N383)),IF(N383&gt;0,Z383/N383*1000,""),"")</f>
        <v/>
      </c>
      <c r="AN383" s="19" t="str">
        <f aca="false">IF(AND(ISNUMBER(U383),ISNUMBER(N383)),IF(N383&gt;0,U383/N383*1000,""),"")</f>
        <v/>
      </c>
    </row>
    <row r="384" customFormat="false" ht="15" hidden="false" customHeight="false" outlineLevel="0" collapsed="false">
      <c r="A384" s="7"/>
      <c r="B384" s="7"/>
      <c r="C384" s="8"/>
      <c r="D384" s="7"/>
      <c r="E384" s="7"/>
      <c r="F384" s="7"/>
      <c r="G384" s="7"/>
      <c r="H384" s="7"/>
      <c r="I384" s="7"/>
      <c r="J384" s="7"/>
      <c r="K384" s="9"/>
      <c r="L384" s="10"/>
      <c r="M384" s="10"/>
      <c r="N384" s="10"/>
      <c r="O384" s="10"/>
      <c r="P384" s="11"/>
      <c r="Q384" s="9"/>
      <c r="R384" s="12" t="str">
        <f aca="false">IF(AND(ISNUMBER(K384),ISNUMBER(Q384),K384&gt;0),Q384/K384,"")</f>
        <v/>
      </c>
      <c r="S384" s="11"/>
      <c r="T384" s="9"/>
      <c r="U384" s="10"/>
      <c r="V384" s="11"/>
      <c r="W384" s="11"/>
      <c r="X384" s="11"/>
      <c r="Y384" s="12" t="str">
        <f aca="false">IF(COUNT(V384:X384)=0,"",MAX(0,1-SUM(V384:X384)))</f>
        <v/>
      </c>
      <c r="Z384" s="13"/>
      <c r="AA384" s="9"/>
      <c r="AB384" s="7"/>
      <c r="AC384" s="7"/>
      <c r="AD384" s="7"/>
      <c r="AE384" s="7"/>
      <c r="AF384" s="14" t="str">
        <f aca="false">IF(D384="","",COUNTIF($D$2:D384,D384))</f>
        <v/>
      </c>
      <c r="AG384" s="15" t="str">
        <f aca="false" t="array" ref="AG384:AG384">IF(D384="","",IFERROR(MEDIAN(IF(($D$2:$D$401=D384)*($AF$2:$AF$401&gt;=AF384-5)*($AF$2:$AF$401&lt;=AF384-1)*($M$2:$M$401&lt;&gt;""),$M$2:$M$401)),""))</f>
        <v/>
      </c>
      <c r="AH384" s="16" t="str">
        <f aca="false">IF(AND(ISNUMBER(M384),ISNUMBER(AG384)),IF(AG384&gt;0,M384/AG384,""),"")</f>
        <v/>
      </c>
      <c r="AI384" s="15" t="str">
        <f aca="false" t="array" ref="AI384:AI384">IF(D384="","",IFERROR(MEDIAN(IF(($D$2:$D$401=D384)*($AF$2:$AF$401&gt;=AF384-5)*($AF$2:$AF$401&lt;=AF384-1)*($N$2:$N$401&lt;&gt;""),$N$2:$N$401)),""))</f>
        <v/>
      </c>
      <c r="AJ384" s="16" t="str">
        <f aca="false">IF(AND(ISNUMBER(N384),ISNUMBER(AI384)),IF(AI384&gt;0,N384/AI384,""),"")</f>
        <v/>
      </c>
      <c r="AK384" s="12" t="str">
        <f aca="false" t="array" ref="AK384:AK384">IF(D384="","",IFERROR(MEDIAN(IF(($D$2:$D$401=D384)*ISNUMBER($R$2:$R$401),$R$2:$R$401)),""))</f>
        <v/>
      </c>
      <c r="AL384" s="17" t="str">
        <f aca="false">IF(ISNUMBER(AJ384),IF(AND(AJ384&gt;=Resumen!$C$5,OR(NOT(ISNUMBER(R384)),NOT(ISNUMBER(AK384)),R384&gt;=AK384)),"Ganador",IF(AJ384&lt;=Resumen!$C$6,"Perdedor","Normal")),IF(ISNUMBER(AH384),IF(AH384&gt;=Resumen!$C$5,"Ganador (7 d, provisional)",IF(AH384&lt;=Resumen!$C$6,"Perdedor (7 d, provisional)","Normal (7 d, provisional)")),""))</f>
        <v/>
      </c>
      <c r="AM384" s="18" t="str">
        <f aca="false">IF(AND(ISNUMBER(Z384),ISNUMBER(N384)),IF(N384&gt;0,Z384/N384*1000,""),"")</f>
        <v/>
      </c>
      <c r="AN384" s="19" t="str">
        <f aca="false">IF(AND(ISNUMBER(U384),ISNUMBER(N384)),IF(N384&gt;0,U384/N384*1000,""),"")</f>
        <v/>
      </c>
    </row>
    <row r="385" customFormat="false" ht="15" hidden="false" customHeight="false" outlineLevel="0" collapsed="false">
      <c r="A385" s="7"/>
      <c r="B385" s="7"/>
      <c r="C385" s="8"/>
      <c r="D385" s="7"/>
      <c r="E385" s="7"/>
      <c r="F385" s="7"/>
      <c r="G385" s="7"/>
      <c r="H385" s="7"/>
      <c r="I385" s="7"/>
      <c r="J385" s="7"/>
      <c r="K385" s="9"/>
      <c r="L385" s="10"/>
      <c r="M385" s="10"/>
      <c r="N385" s="10"/>
      <c r="O385" s="10"/>
      <c r="P385" s="11"/>
      <c r="Q385" s="9"/>
      <c r="R385" s="12" t="str">
        <f aca="false">IF(AND(ISNUMBER(K385),ISNUMBER(Q385),K385&gt;0),Q385/K385,"")</f>
        <v/>
      </c>
      <c r="S385" s="11"/>
      <c r="T385" s="9"/>
      <c r="U385" s="10"/>
      <c r="V385" s="11"/>
      <c r="W385" s="11"/>
      <c r="X385" s="11"/>
      <c r="Y385" s="12" t="str">
        <f aca="false">IF(COUNT(V385:X385)=0,"",MAX(0,1-SUM(V385:X385)))</f>
        <v/>
      </c>
      <c r="Z385" s="13"/>
      <c r="AA385" s="9"/>
      <c r="AB385" s="7"/>
      <c r="AC385" s="7"/>
      <c r="AD385" s="7"/>
      <c r="AE385" s="7"/>
      <c r="AF385" s="14" t="str">
        <f aca="false">IF(D385="","",COUNTIF($D$2:D385,D385))</f>
        <v/>
      </c>
      <c r="AG385" s="15" t="str">
        <f aca="false" t="array" ref="AG385:AG385">IF(D385="","",IFERROR(MEDIAN(IF(($D$2:$D$401=D385)*($AF$2:$AF$401&gt;=AF385-5)*($AF$2:$AF$401&lt;=AF385-1)*($M$2:$M$401&lt;&gt;""),$M$2:$M$401)),""))</f>
        <v/>
      </c>
      <c r="AH385" s="16" t="str">
        <f aca="false">IF(AND(ISNUMBER(M385),ISNUMBER(AG385)),IF(AG385&gt;0,M385/AG385,""),"")</f>
        <v/>
      </c>
      <c r="AI385" s="15" t="str">
        <f aca="false" t="array" ref="AI385:AI385">IF(D385="","",IFERROR(MEDIAN(IF(($D$2:$D$401=D385)*($AF$2:$AF$401&gt;=AF385-5)*($AF$2:$AF$401&lt;=AF385-1)*($N$2:$N$401&lt;&gt;""),$N$2:$N$401)),""))</f>
        <v/>
      </c>
      <c r="AJ385" s="16" t="str">
        <f aca="false">IF(AND(ISNUMBER(N385),ISNUMBER(AI385)),IF(AI385&gt;0,N385/AI385,""),"")</f>
        <v/>
      </c>
      <c r="AK385" s="12" t="str">
        <f aca="false" t="array" ref="AK385:AK385">IF(D385="","",IFERROR(MEDIAN(IF(($D$2:$D$401=D385)*ISNUMBER($R$2:$R$401),$R$2:$R$401)),""))</f>
        <v/>
      </c>
      <c r="AL385" s="17" t="str">
        <f aca="false">IF(ISNUMBER(AJ385),IF(AND(AJ385&gt;=Resumen!$C$5,OR(NOT(ISNUMBER(R385)),NOT(ISNUMBER(AK385)),R385&gt;=AK385)),"Ganador",IF(AJ385&lt;=Resumen!$C$6,"Perdedor","Normal")),IF(ISNUMBER(AH385),IF(AH385&gt;=Resumen!$C$5,"Ganador (7 d, provisional)",IF(AH385&lt;=Resumen!$C$6,"Perdedor (7 d, provisional)","Normal (7 d, provisional)")),""))</f>
        <v/>
      </c>
      <c r="AM385" s="18" t="str">
        <f aca="false">IF(AND(ISNUMBER(Z385),ISNUMBER(N385)),IF(N385&gt;0,Z385/N385*1000,""),"")</f>
        <v/>
      </c>
      <c r="AN385" s="19" t="str">
        <f aca="false">IF(AND(ISNUMBER(U385),ISNUMBER(N385)),IF(N385&gt;0,U385/N385*1000,""),"")</f>
        <v/>
      </c>
    </row>
    <row r="386" customFormat="false" ht="15" hidden="false" customHeight="false" outlineLevel="0" collapsed="false">
      <c r="A386" s="7"/>
      <c r="B386" s="7"/>
      <c r="C386" s="8"/>
      <c r="D386" s="7"/>
      <c r="E386" s="7"/>
      <c r="F386" s="7"/>
      <c r="G386" s="7"/>
      <c r="H386" s="7"/>
      <c r="I386" s="7"/>
      <c r="J386" s="7"/>
      <c r="K386" s="9"/>
      <c r="L386" s="10"/>
      <c r="M386" s="10"/>
      <c r="N386" s="10"/>
      <c r="O386" s="10"/>
      <c r="P386" s="11"/>
      <c r="Q386" s="9"/>
      <c r="R386" s="12" t="str">
        <f aca="false">IF(AND(ISNUMBER(K386),ISNUMBER(Q386),K386&gt;0),Q386/K386,"")</f>
        <v/>
      </c>
      <c r="S386" s="11"/>
      <c r="T386" s="9"/>
      <c r="U386" s="10"/>
      <c r="V386" s="11"/>
      <c r="W386" s="11"/>
      <c r="X386" s="11"/>
      <c r="Y386" s="12" t="str">
        <f aca="false">IF(COUNT(V386:X386)=0,"",MAX(0,1-SUM(V386:X386)))</f>
        <v/>
      </c>
      <c r="Z386" s="13"/>
      <c r="AA386" s="9"/>
      <c r="AB386" s="7"/>
      <c r="AC386" s="7"/>
      <c r="AD386" s="7"/>
      <c r="AE386" s="7"/>
      <c r="AF386" s="14" t="str">
        <f aca="false">IF(D386="","",COUNTIF($D$2:D386,D386))</f>
        <v/>
      </c>
      <c r="AG386" s="15" t="str">
        <f aca="false" t="array" ref="AG386:AG386">IF(D386="","",IFERROR(MEDIAN(IF(($D$2:$D$401=D386)*($AF$2:$AF$401&gt;=AF386-5)*($AF$2:$AF$401&lt;=AF386-1)*($M$2:$M$401&lt;&gt;""),$M$2:$M$401)),""))</f>
        <v/>
      </c>
      <c r="AH386" s="16" t="str">
        <f aca="false">IF(AND(ISNUMBER(M386),ISNUMBER(AG386)),IF(AG386&gt;0,M386/AG386,""),"")</f>
        <v/>
      </c>
      <c r="AI386" s="15" t="str">
        <f aca="false" t="array" ref="AI386:AI386">IF(D386="","",IFERROR(MEDIAN(IF(($D$2:$D$401=D386)*($AF$2:$AF$401&gt;=AF386-5)*($AF$2:$AF$401&lt;=AF386-1)*($N$2:$N$401&lt;&gt;""),$N$2:$N$401)),""))</f>
        <v/>
      </c>
      <c r="AJ386" s="16" t="str">
        <f aca="false">IF(AND(ISNUMBER(N386),ISNUMBER(AI386)),IF(AI386&gt;0,N386/AI386,""),"")</f>
        <v/>
      </c>
      <c r="AK386" s="12" t="str">
        <f aca="false" t="array" ref="AK386:AK386">IF(D386="","",IFERROR(MEDIAN(IF(($D$2:$D$401=D386)*ISNUMBER($R$2:$R$401),$R$2:$R$401)),""))</f>
        <v/>
      </c>
      <c r="AL386" s="17" t="str">
        <f aca="false">IF(ISNUMBER(AJ386),IF(AND(AJ386&gt;=Resumen!$C$5,OR(NOT(ISNUMBER(R386)),NOT(ISNUMBER(AK386)),R386&gt;=AK386)),"Ganador",IF(AJ386&lt;=Resumen!$C$6,"Perdedor","Normal")),IF(ISNUMBER(AH386),IF(AH386&gt;=Resumen!$C$5,"Ganador (7 d, provisional)",IF(AH386&lt;=Resumen!$C$6,"Perdedor (7 d, provisional)","Normal (7 d, provisional)")),""))</f>
        <v/>
      </c>
      <c r="AM386" s="18" t="str">
        <f aca="false">IF(AND(ISNUMBER(Z386),ISNUMBER(N386)),IF(N386&gt;0,Z386/N386*1000,""),"")</f>
        <v/>
      </c>
      <c r="AN386" s="19" t="str">
        <f aca="false">IF(AND(ISNUMBER(U386),ISNUMBER(N386)),IF(N386&gt;0,U386/N386*1000,""),"")</f>
        <v/>
      </c>
    </row>
    <row r="387" customFormat="false" ht="15" hidden="false" customHeight="false" outlineLevel="0" collapsed="false">
      <c r="A387" s="7"/>
      <c r="B387" s="7"/>
      <c r="C387" s="8"/>
      <c r="D387" s="7"/>
      <c r="E387" s="7"/>
      <c r="F387" s="7"/>
      <c r="G387" s="7"/>
      <c r="H387" s="7"/>
      <c r="I387" s="7"/>
      <c r="J387" s="7"/>
      <c r="K387" s="9"/>
      <c r="L387" s="10"/>
      <c r="M387" s="10"/>
      <c r="N387" s="10"/>
      <c r="O387" s="10"/>
      <c r="P387" s="11"/>
      <c r="Q387" s="9"/>
      <c r="R387" s="12" t="str">
        <f aca="false">IF(AND(ISNUMBER(K387),ISNUMBER(Q387),K387&gt;0),Q387/K387,"")</f>
        <v/>
      </c>
      <c r="S387" s="11"/>
      <c r="T387" s="9"/>
      <c r="U387" s="10"/>
      <c r="V387" s="11"/>
      <c r="W387" s="11"/>
      <c r="X387" s="11"/>
      <c r="Y387" s="12" t="str">
        <f aca="false">IF(COUNT(V387:X387)=0,"",MAX(0,1-SUM(V387:X387)))</f>
        <v/>
      </c>
      <c r="Z387" s="13"/>
      <c r="AA387" s="9"/>
      <c r="AB387" s="7"/>
      <c r="AC387" s="7"/>
      <c r="AD387" s="7"/>
      <c r="AE387" s="7"/>
      <c r="AF387" s="14" t="str">
        <f aca="false">IF(D387="","",COUNTIF($D$2:D387,D387))</f>
        <v/>
      </c>
      <c r="AG387" s="15" t="str">
        <f aca="false" t="array" ref="AG387:AG387">IF(D387="","",IFERROR(MEDIAN(IF(($D$2:$D$401=D387)*($AF$2:$AF$401&gt;=AF387-5)*($AF$2:$AF$401&lt;=AF387-1)*($M$2:$M$401&lt;&gt;""),$M$2:$M$401)),""))</f>
        <v/>
      </c>
      <c r="AH387" s="16" t="str">
        <f aca="false">IF(AND(ISNUMBER(M387),ISNUMBER(AG387)),IF(AG387&gt;0,M387/AG387,""),"")</f>
        <v/>
      </c>
      <c r="AI387" s="15" t="str">
        <f aca="false" t="array" ref="AI387:AI387">IF(D387="","",IFERROR(MEDIAN(IF(($D$2:$D$401=D387)*($AF$2:$AF$401&gt;=AF387-5)*($AF$2:$AF$401&lt;=AF387-1)*($N$2:$N$401&lt;&gt;""),$N$2:$N$401)),""))</f>
        <v/>
      </c>
      <c r="AJ387" s="16" t="str">
        <f aca="false">IF(AND(ISNUMBER(N387),ISNUMBER(AI387)),IF(AI387&gt;0,N387/AI387,""),"")</f>
        <v/>
      </c>
      <c r="AK387" s="12" t="str">
        <f aca="false" t="array" ref="AK387:AK387">IF(D387="","",IFERROR(MEDIAN(IF(($D$2:$D$401=D387)*ISNUMBER($R$2:$R$401),$R$2:$R$401)),""))</f>
        <v/>
      </c>
      <c r="AL387" s="17" t="str">
        <f aca="false">IF(ISNUMBER(AJ387),IF(AND(AJ387&gt;=Resumen!$C$5,OR(NOT(ISNUMBER(R387)),NOT(ISNUMBER(AK387)),R387&gt;=AK387)),"Ganador",IF(AJ387&lt;=Resumen!$C$6,"Perdedor","Normal")),IF(ISNUMBER(AH387),IF(AH387&gt;=Resumen!$C$5,"Ganador (7 d, provisional)",IF(AH387&lt;=Resumen!$C$6,"Perdedor (7 d, provisional)","Normal (7 d, provisional)")),""))</f>
        <v/>
      </c>
      <c r="AM387" s="18" t="str">
        <f aca="false">IF(AND(ISNUMBER(Z387),ISNUMBER(N387)),IF(N387&gt;0,Z387/N387*1000,""),"")</f>
        <v/>
      </c>
      <c r="AN387" s="19" t="str">
        <f aca="false">IF(AND(ISNUMBER(U387),ISNUMBER(N387)),IF(N387&gt;0,U387/N387*1000,""),"")</f>
        <v/>
      </c>
    </row>
    <row r="388" customFormat="false" ht="15" hidden="false" customHeight="false" outlineLevel="0" collapsed="false">
      <c r="A388" s="7"/>
      <c r="B388" s="7"/>
      <c r="C388" s="8"/>
      <c r="D388" s="7"/>
      <c r="E388" s="7"/>
      <c r="F388" s="7"/>
      <c r="G388" s="7"/>
      <c r="H388" s="7"/>
      <c r="I388" s="7"/>
      <c r="J388" s="7"/>
      <c r="K388" s="9"/>
      <c r="L388" s="10"/>
      <c r="M388" s="10"/>
      <c r="N388" s="10"/>
      <c r="O388" s="10"/>
      <c r="P388" s="11"/>
      <c r="Q388" s="9"/>
      <c r="R388" s="12" t="str">
        <f aca="false">IF(AND(ISNUMBER(K388),ISNUMBER(Q388),K388&gt;0),Q388/K388,"")</f>
        <v/>
      </c>
      <c r="S388" s="11"/>
      <c r="T388" s="9"/>
      <c r="U388" s="10"/>
      <c r="V388" s="11"/>
      <c r="W388" s="11"/>
      <c r="X388" s="11"/>
      <c r="Y388" s="12" t="str">
        <f aca="false">IF(COUNT(V388:X388)=0,"",MAX(0,1-SUM(V388:X388)))</f>
        <v/>
      </c>
      <c r="Z388" s="13"/>
      <c r="AA388" s="9"/>
      <c r="AB388" s="7"/>
      <c r="AC388" s="7"/>
      <c r="AD388" s="7"/>
      <c r="AE388" s="7"/>
      <c r="AF388" s="14" t="str">
        <f aca="false">IF(D388="","",COUNTIF($D$2:D388,D388))</f>
        <v/>
      </c>
      <c r="AG388" s="15" t="str">
        <f aca="false" t="array" ref="AG388:AG388">IF(D388="","",IFERROR(MEDIAN(IF(($D$2:$D$401=D388)*($AF$2:$AF$401&gt;=AF388-5)*($AF$2:$AF$401&lt;=AF388-1)*($M$2:$M$401&lt;&gt;""),$M$2:$M$401)),""))</f>
        <v/>
      </c>
      <c r="AH388" s="16" t="str">
        <f aca="false">IF(AND(ISNUMBER(M388),ISNUMBER(AG388)),IF(AG388&gt;0,M388/AG388,""),"")</f>
        <v/>
      </c>
      <c r="AI388" s="15" t="str">
        <f aca="false" t="array" ref="AI388:AI388">IF(D388="","",IFERROR(MEDIAN(IF(($D$2:$D$401=D388)*($AF$2:$AF$401&gt;=AF388-5)*($AF$2:$AF$401&lt;=AF388-1)*($N$2:$N$401&lt;&gt;""),$N$2:$N$401)),""))</f>
        <v/>
      </c>
      <c r="AJ388" s="16" t="str">
        <f aca="false">IF(AND(ISNUMBER(N388),ISNUMBER(AI388)),IF(AI388&gt;0,N388/AI388,""),"")</f>
        <v/>
      </c>
      <c r="AK388" s="12" t="str">
        <f aca="false" t="array" ref="AK388:AK388">IF(D388="","",IFERROR(MEDIAN(IF(($D$2:$D$401=D388)*ISNUMBER($R$2:$R$401),$R$2:$R$401)),""))</f>
        <v/>
      </c>
      <c r="AL388" s="17" t="str">
        <f aca="false">IF(ISNUMBER(AJ388),IF(AND(AJ388&gt;=Resumen!$C$5,OR(NOT(ISNUMBER(R388)),NOT(ISNUMBER(AK388)),R388&gt;=AK388)),"Ganador",IF(AJ388&lt;=Resumen!$C$6,"Perdedor","Normal")),IF(ISNUMBER(AH388),IF(AH388&gt;=Resumen!$C$5,"Ganador (7 d, provisional)",IF(AH388&lt;=Resumen!$C$6,"Perdedor (7 d, provisional)","Normal (7 d, provisional)")),""))</f>
        <v/>
      </c>
      <c r="AM388" s="18" t="str">
        <f aca="false">IF(AND(ISNUMBER(Z388),ISNUMBER(N388)),IF(N388&gt;0,Z388/N388*1000,""),"")</f>
        <v/>
      </c>
      <c r="AN388" s="19" t="str">
        <f aca="false">IF(AND(ISNUMBER(U388),ISNUMBER(N388)),IF(N388&gt;0,U388/N388*1000,""),"")</f>
        <v/>
      </c>
    </row>
    <row r="389" customFormat="false" ht="15" hidden="false" customHeight="false" outlineLevel="0" collapsed="false">
      <c r="A389" s="7"/>
      <c r="B389" s="7"/>
      <c r="C389" s="8"/>
      <c r="D389" s="7"/>
      <c r="E389" s="7"/>
      <c r="F389" s="7"/>
      <c r="G389" s="7"/>
      <c r="H389" s="7"/>
      <c r="I389" s="7"/>
      <c r="J389" s="7"/>
      <c r="K389" s="9"/>
      <c r="L389" s="10"/>
      <c r="M389" s="10"/>
      <c r="N389" s="10"/>
      <c r="O389" s="10"/>
      <c r="P389" s="11"/>
      <c r="Q389" s="9"/>
      <c r="R389" s="12" t="str">
        <f aca="false">IF(AND(ISNUMBER(K389),ISNUMBER(Q389),K389&gt;0),Q389/K389,"")</f>
        <v/>
      </c>
      <c r="S389" s="11"/>
      <c r="T389" s="9"/>
      <c r="U389" s="10"/>
      <c r="V389" s="11"/>
      <c r="W389" s="11"/>
      <c r="X389" s="11"/>
      <c r="Y389" s="12" t="str">
        <f aca="false">IF(COUNT(V389:X389)=0,"",MAX(0,1-SUM(V389:X389)))</f>
        <v/>
      </c>
      <c r="Z389" s="13"/>
      <c r="AA389" s="9"/>
      <c r="AB389" s="7"/>
      <c r="AC389" s="7"/>
      <c r="AD389" s="7"/>
      <c r="AE389" s="7"/>
      <c r="AF389" s="14" t="str">
        <f aca="false">IF(D389="","",COUNTIF($D$2:D389,D389))</f>
        <v/>
      </c>
      <c r="AG389" s="15" t="str">
        <f aca="false" t="array" ref="AG389:AG389">IF(D389="","",IFERROR(MEDIAN(IF(($D$2:$D$401=D389)*($AF$2:$AF$401&gt;=AF389-5)*($AF$2:$AF$401&lt;=AF389-1)*($M$2:$M$401&lt;&gt;""),$M$2:$M$401)),""))</f>
        <v/>
      </c>
      <c r="AH389" s="16" t="str">
        <f aca="false">IF(AND(ISNUMBER(M389),ISNUMBER(AG389)),IF(AG389&gt;0,M389/AG389,""),"")</f>
        <v/>
      </c>
      <c r="AI389" s="15" t="str">
        <f aca="false" t="array" ref="AI389:AI389">IF(D389="","",IFERROR(MEDIAN(IF(($D$2:$D$401=D389)*($AF$2:$AF$401&gt;=AF389-5)*($AF$2:$AF$401&lt;=AF389-1)*($N$2:$N$401&lt;&gt;""),$N$2:$N$401)),""))</f>
        <v/>
      </c>
      <c r="AJ389" s="16" t="str">
        <f aca="false">IF(AND(ISNUMBER(N389),ISNUMBER(AI389)),IF(AI389&gt;0,N389/AI389,""),"")</f>
        <v/>
      </c>
      <c r="AK389" s="12" t="str">
        <f aca="false" t="array" ref="AK389:AK389">IF(D389="","",IFERROR(MEDIAN(IF(($D$2:$D$401=D389)*ISNUMBER($R$2:$R$401),$R$2:$R$401)),""))</f>
        <v/>
      </c>
      <c r="AL389" s="17" t="str">
        <f aca="false">IF(ISNUMBER(AJ389),IF(AND(AJ389&gt;=Resumen!$C$5,OR(NOT(ISNUMBER(R389)),NOT(ISNUMBER(AK389)),R389&gt;=AK389)),"Ganador",IF(AJ389&lt;=Resumen!$C$6,"Perdedor","Normal")),IF(ISNUMBER(AH389),IF(AH389&gt;=Resumen!$C$5,"Ganador (7 d, provisional)",IF(AH389&lt;=Resumen!$C$6,"Perdedor (7 d, provisional)","Normal (7 d, provisional)")),""))</f>
        <v/>
      </c>
      <c r="AM389" s="18" t="str">
        <f aca="false">IF(AND(ISNUMBER(Z389),ISNUMBER(N389)),IF(N389&gt;0,Z389/N389*1000,""),"")</f>
        <v/>
      </c>
      <c r="AN389" s="19" t="str">
        <f aca="false">IF(AND(ISNUMBER(U389),ISNUMBER(N389)),IF(N389&gt;0,U389/N389*1000,""),"")</f>
        <v/>
      </c>
    </row>
    <row r="390" customFormat="false" ht="15" hidden="false" customHeight="false" outlineLevel="0" collapsed="false">
      <c r="A390" s="7"/>
      <c r="B390" s="7"/>
      <c r="C390" s="8"/>
      <c r="D390" s="7"/>
      <c r="E390" s="7"/>
      <c r="F390" s="7"/>
      <c r="G390" s="7"/>
      <c r="H390" s="7"/>
      <c r="I390" s="7"/>
      <c r="J390" s="7"/>
      <c r="K390" s="9"/>
      <c r="L390" s="10"/>
      <c r="M390" s="10"/>
      <c r="N390" s="10"/>
      <c r="O390" s="10"/>
      <c r="P390" s="11"/>
      <c r="Q390" s="9"/>
      <c r="R390" s="12" t="str">
        <f aca="false">IF(AND(ISNUMBER(K390),ISNUMBER(Q390),K390&gt;0),Q390/K390,"")</f>
        <v/>
      </c>
      <c r="S390" s="11"/>
      <c r="T390" s="9"/>
      <c r="U390" s="10"/>
      <c r="V390" s="11"/>
      <c r="W390" s="11"/>
      <c r="X390" s="11"/>
      <c r="Y390" s="12" t="str">
        <f aca="false">IF(COUNT(V390:X390)=0,"",MAX(0,1-SUM(V390:X390)))</f>
        <v/>
      </c>
      <c r="Z390" s="13"/>
      <c r="AA390" s="9"/>
      <c r="AB390" s="7"/>
      <c r="AC390" s="7"/>
      <c r="AD390" s="7"/>
      <c r="AE390" s="7"/>
      <c r="AF390" s="14" t="str">
        <f aca="false">IF(D390="","",COUNTIF($D$2:D390,D390))</f>
        <v/>
      </c>
      <c r="AG390" s="15" t="str">
        <f aca="false" t="array" ref="AG390:AG390">IF(D390="","",IFERROR(MEDIAN(IF(($D$2:$D$401=D390)*($AF$2:$AF$401&gt;=AF390-5)*($AF$2:$AF$401&lt;=AF390-1)*($M$2:$M$401&lt;&gt;""),$M$2:$M$401)),""))</f>
        <v/>
      </c>
      <c r="AH390" s="16" t="str">
        <f aca="false">IF(AND(ISNUMBER(M390),ISNUMBER(AG390)),IF(AG390&gt;0,M390/AG390,""),"")</f>
        <v/>
      </c>
      <c r="AI390" s="15" t="str">
        <f aca="false" t="array" ref="AI390:AI390">IF(D390="","",IFERROR(MEDIAN(IF(($D$2:$D$401=D390)*($AF$2:$AF$401&gt;=AF390-5)*($AF$2:$AF$401&lt;=AF390-1)*($N$2:$N$401&lt;&gt;""),$N$2:$N$401)),""))</f>
        <v/>
      </c>
      <c r="AJ390" s="16" t="str">
        <f aca="false">IF(AND(ISNUMBER(N390),ISNUMBER(AI390)),IF(AI390&gt;0,N390/AI390,""),"")</f>
        <v/>
      </c>
      <c r="AK390" s="12" t="str">
        <f aca="false" t="array" ref="AK390:AK390">IF(D390="","",IFERROR(MEDIAN(IF(($D$2:$D$401=D390)*ISNUMBER($R$2:$R$401),$R$2:$R$401)),""))</f>
        <v/>
      </c>
      <c r="AL390" s="17" t="str">
        <f aca="false">IF(ISNUMBER(AJ390),IF(AND(AJ390&gt;=Resumen!$C$5,OR(NOT(ISNUMBER(R390)),NOT(ISNUMBER(AK390)),R390&gt;=AK390)),"Ganador",IF(AJ390&lt;=Resumen!$C$6,"Perdedor","Normal")),IF(ISNUMBER(AH390),IF(AH390&gt;=Resumen!$C$5,"Ganador (7 d, provisional)",IF(AH390&lt;=Resumen!$C$6,"Perdedor (7 d, provisional)","Normal (7 d, provisional)")),""))</f>
        <v/>
      </c>
      <c r="AM390" s="18" t="str">
        <f aca="false">IF(AND(ISNUMBER(Z390),ISNUMBER(N390)),IF(N390&gt;0,Z390/N390*1000,""),"")</f>
        <v/>
      </c>
      <c r="AN390" s="19" t="str">
        <f aca="false">IF(AND(ISNUMBER(U390),ISNUMBER(N390)),IF(N390&gt;0,U390/N390*1000,""),"")</f>
        <v/>
      </c>
    </row>
    <row r="391" customFormat="false" ht="15" hidden="false" customHeight="false" outlineLevel="0" collapsed="false">
      <c r="A391" s="7"/>
      <c r="B391" s="7"/>
      <c r="C391" s="8"/>
      <c r="D391" s="7"/>
      <c r="E391" s="7"/>
      <c r="F391" s="7"/>
      <c r="G391" s="7"/>
      <c r="H391" s="7"/>
      <c r="I391" s="7"/>
      <c r="J391" s="7"/>
      <c r="K391" s="9"/>
      <c r="L391" s="10"/>
      <c r="M391" s="10"/>
      <c r="N391" s="10"/>
      <c r="O391" s="10"/>
      <c r="P391" s="11"/>
      <c r="Q391" s="9"/>
      <c r="R391" s="12" t="str">
        <f aca="false">IF(AND(ISNUMBER(K391),ISNUMBER(Q391),K391&gt;0),Q391/K391,"")</f>
        <v/>
      </c>
      <c r="S391" s="11"/>
      <c r="T391" s="9"/>
      <c r="U391" s="10"/>
      <c r="V391" s="11"/>
      <c r="W391" s="11"/>
      <c r="X391" s="11"/>
      <c r="Y391" s="12" t="str">
        <f aca="false">IF(COUNT(V391:X391)=0,"",MAX(0,1-SUM(V391:X391)))</f>
        <v/>
      </c>
      <c r="Z391" s="13"/>
      <c r="AA391" s="9"/>
      <c r="AB391" s="7"/>
      <c r="AC391" s="7"/>
      <c r="AD391" s="7"/>
      <c r="AE391" s="7"/>
      <c r="AF391" s="14" t="str">
        <f aca="false">IF(D391="","",COUNTIF($D$2:D391,D391))</f>
        <v/>
      </c>
      <c r="AG391" s="15" t="str">
        <f aca="false" t="array" ref="AG391:AG391">IF(D391="","",IFERROR(MEDIAN(IF(($D$2:$D$401=D391)*($AF$2:$AF$401&gt;=AF391-5)*($AF$2:$AF$401&lt;=AF391-1)*($M$2:$M$401&lt;&gt;""),$M$2:$M$401)),""))</f>
        <v/>
      </c>
      <c r="AH391" s="16" t="str">
        <f aca="false">IF(AND(ISNUMBER(M391),ISNUMBER(AG391)),IF(AG391&gt;0,M391/AG391,""),"")</f>
        <v/>
      </c>
      <c r="AI391" s="15" t="str">
        <f aca="false" t="array" ref="AI391:AI391">IF(D391="","",IFERROR(MEDIAN(IF(($D$2:$D$401=D391)*($AF$2:$AF$401&gt;=AF391-5)*($AF$2:$AF$401&lt;=AF391-1)*($N$2:$N$401&lt;&gt;""),$N$2:$N$401)),""))</f>
        <v/>
      </c>
      <c r="AJ391" s="16" t="str">
        <f aca="false">IF(AND(ISNUMBER(N391),ISNUMBER(AI391)),IF(AI391&gt;0,N391/AI391,""),"")</f>
        <v/>
      </c>
      <c r="AK391" s="12" t="str">
        <f aca="false" t="array" ref="AK391:AK391">IF(D391="","",IFERROR(MEDIAN(IF(($D$2:$D$401=D391)*ISNUMBER($R$2:$R$401),$R$2:$R$401)),""))</f>
        <v/>
      </c>
      <c r="AL391" s="17" t="str">
        <f aca="false">IF(ISNUMBER(AJ391),IF(AND(AJ391&gt;=Resumen!$C$5,OR(NOT(ISNUMBER(R391)),NOT(ISNUMBER(AK391)),R391&gt;=AK391)),"Ganador",IF(AJ391&lt;=Resumen!$C$6,"Perdedor","Normal")),IF(ISNUMBER(AH391),IF(AH391&gt;=Resumen!$C$5,"Ganador (7 d, provisional)",IF(AH391&lt;=Resumen!$C$6,"Perdedor (7 d, provisional)","Normal (7 d, provisional)")),""))</f>
        <v/>
      </c>
      <c r="AM391" s="18" t="str">
        <f aca="false">IF(AND(ISNUMBER(Z391),ISNUMBER(N391)),IF(N391&gt;0,Z391/N391*1000,""),"")</f>
        <v/>
      </c>
      <c r="AN391" s="19" t="str">
        <f aca="false">IF(AND(ISNUMBER(U391),ISNUMBER(N391)),IF(N391&gt;0,U391/N391*1000,""),"")</f>
        <v/>
      </c>
    </row>
    <row r="392" customFormat="false" ht="15" hidden="false" customHeight="false" outlineLevel="0" collapsed="false">
      <c r="A392" s="7"/>
      <c r="B392" s="7"/>
      <c r="C392" s="8"/>
      <c r="D392" s="7"/>
      <c r="E392" s="7"/>
      <c r="F392" s="7"/>
      <c r="G392" s="7"/>
      <c r="H392" s="7"/>
      <c r="I392" s="7"/>
      <c r="J392" s="7"/>
      <c r="K392" s="9"/>
      <c r="L392" s="10"/>
      <c r="M392" s="10"/>
      <c r="N392" s="10"/>
      <c r="O392" s="10"/>
      <c r="P392" s="11"/>
      <c r="Q392" s="9"/>
      <c r="R392" s="12" t="str">
        <f aca="false">IF(AND(ISNUMBER(K392),ISNUMBER(Q392),K392&gt;0),Q392/K392,"")</f>
        <v/>
      </c>
      <c r="S392" s="11"/>
      <c r="T392" s="9"/>
      <c r="U392" s="10"/>
      <c r="V392" s="11"/>
      <c r="W392" s="11"/>
      <c r="X392" s="11"/>
      <c r="Y392" s="12" t="str">
        <f aca="false">IF(COUNT(V392:X392)=0,"",MAX(0,1-SUM(V392:X392)))</f>
        <v/>
      </c>
      <c r="Z392" s="13"/>
      <c r="AA392" s="9"/>
      <c r="AB392" s="7"/>
      <c r="AC392" s="7"/>
      <c r="AD392" s="7"/>
      <c r="AE392" s="7"/>
      <c r="AF392" s="14" t="str">
        <f aca="false">IF(D392="","",COUNTIF($D$2:D392,D392))</f>
        <v/>
      </c>
      <c r="AG392" s="15" t="str">
        <f aca="false" t="array" ref="AG392:AG392">IF(D392="","",IFERROR(MEDIAN(IF(($D$2:$D$401=D392)*($AF$2:$AF$401&gt;=AF392-5)*($AF$2:$AF$401&lt;=AF392-1)*($M$2:$M$401&lt;&gt;""),$M$2:$M$401)),""))</f>
        <v/>
      </c>
      <c r="AH392" s="16" t="str">
        <f aca="false">IF(AND(ISNUMBER(M392),ISNUMBER(AG392)),IF(AG392&gt;0,M392/AG392,""),"")</f>
        <v/>
      </c>
      <c r="AI392" s="15" t="str">
        <f aca="false" t="array" ref="AI392:AI392">IF(D392="","",IFERROR(MEDIAN(IF(($D$2:$D$401=D392)*($AF$2:$AF$401&gt;=AF392-5)*($AF$2:$AF$401&lt;=AF392-1)*($N$2:$N$401&lt;&gt;""),$N$2:$N$401)),""))</f>
        <v/>
      </c>
      <c r="AJ392" s="16" t="str">
        <f aca="false">IF(AND(ISNUMBER(N392),ISNUMBER(AI392)),IF(AI392&gt;0,N392/AI392,""),"")</f>
        <v/>
      </c>
      <c r="AK392" s="12" t="str">
        <f aca="false" t="array" ref="AK392:AK392">IF(D392="","",IFERROR(MEDIAN(IF(($D$2:$D$401=D392)*ISNUMBER($R$2:$R$401),$R$2:$R$401)),""))</f>
        <v/>
      </c>
      <c r="AL392" s="17" t="str">
        <f aca="false">IF(ISNUMBER(AJ392),IF(AND(AJ392&gt;=Resumen!$C$5,OR(NOT(ISNUMBER(R392)),NOT(ISNUMBER(AK392)),R392&gt;=AK392)),"Ganador",IF(AJ392&lt;=Resumen!$C$6,"Perdedor","Normal")),IF(ISNUMBER(AH392),IF(AH392&gt;=Resumen!$C$5,"Ganador (7 d, provisional)",IF(AH392&lt;=Resumen!$C$6,"Perdedor (7 d, provisional)","Normal (7 d, provisional)")),""))</f>
        <v/>
      </c>
      <c r="AM392" s="18" t="str">
        <f aca="false">IF(AND(ISNUMBER(Z392),ISNUMBER(N392)),IF(N392&gt;0,Z392/N392*1000,""),"")</f>
        <v/>
      </c>
      <c r="AN392" s="19" t="str">
        <f aca="false">IF(AND(ISNUMBER(U392),ISNUMBER(N392)),IF(N392&gt;0,U392/N392*1000,""),"")</f>
        <v/>
      </c>
    </row>
    <row r="393" customFormat="false" ht="15" hidden="false" customHeight="false" outlineLevel="0" collapsed="false">
      <c r="A393" s="7"/>
      <c r="B393" s="7"/>
      <c r="C393" s="8"/>
      <c r="D393" s="7"/>
      <c r="E393" s="7"/>
      <c r="F393" s="7"/>
      <c r="G393" s="7"/>
      <c r="H393" s="7"/>
      <c r="I393" s="7"/>
      <c r="J393" s="7"/>
      <c r="K393" s="9"/>
      <c r="L393" s="10"/>
      <c r="M393" s="10"/>
      <c r="N393" s="10"/>
      <c r="O393" s="10"/>
      <c r="P393" s="11"/>
      <c r="Q393" s="9"/>
      <c r="R393" s="12" t="str">
        <f aca="false">IF(AND(ISNUMBER(K393),ISNUMBER(Q393),K393&gt;0),Q393/K393,"")</f>
        <v/>
      </c>
      <c r="S393" s="11"/>
      <c r="T393" s="9"/>
      <c r="U393" s="10"/>
      <c r="V393" s="11"/>
      <c r="W393" s="11"/>
      <c r="X393" s="11"/>
      <c r="Y393" s="12" t="str">
        <f aca="false">IF(COUNT(V393:X393)=0,"",MAX(0,1-SUM(V393:X393)))</f>
        <v/>
      </c>
      <c r="Z393" s="13"/>
      <c r="AA393" s="9"/>
      <c r="AB393" s="7"/>
      <c r="AC393" s="7"/>
      <c r="AD393" s="7"/>
      <c r="AE393" s="7"/>
      <c r="AF393" s="14" t="str">
        <f aca="false">IF(D393="","",COUNTIF($D$2:D393,D393))</f>
        <v/>
      </c>
      <c r="AG393" s="15" t="str">
        <f aca="false" t="array" ref="AG393:AG393">IF(D393="","",IFERROR(MEDIAN(IF(($D$2:$D$401=D393)*($AF$2:$AF$401&gt;=AF393-5)*($AF$2:$AF$401&lt;=AF393-1)*($M$2:$M$401&lt;&gt;""),$M$2:$M$401)),""))</f>
        <v/>
      </c>
      <c r="AH393" s="16" t="str">
        <f aca="false">IF(AND(ISNUMBER(M393),ISNUMBER(AG393)),IF(AG393&gt;0,M393/AG393,""),"")</f>
        <v/>
      </c>
      <c r="AI393" s="15" t="str">
        <f aca="false" t="array" ref="AI393:AI393">IF(D393="","",IFERROR(MEDIAN(IF(($D$2:$D$401=D393)*($AF$2:$AF$401&gt;=AF393-5)*($AF$2:$AF$401&lt;=AF393-1)*($N$2:$N$401&lt;&gt;""),$N$2:$N$401)),""))</f>
        <v/>
      </c>
      <c r="AJ393" s="16" t="str">
        <f aca="false">IF(AND(ISNUMBER(N393),ISNUMBER(AI393)),IF(AI393&gt;0,N393/AI393,""),"")</f>
        <v/>
      </c>
      <c r="AK393" s="12" t="str">
        <f aca="false" t="array" ref="AK393:AK393">IF(D393="","",IFERROR(MEDIAN(IF(($D$2:$D$401=D393)*ISNUMBER($R$2:$R$401),$R$2:$R$401)),""))</f>
        <v/>
      </c>
      <c r="AL393" s="17" t="str">
        <f aca="false">IF(ISNUMBER(AJ393),IF(AND(AJ393&gt;=Resumen!$C$5,OR(NOT(ISNUMBER(R393)),NOT(ISNUMBER(AK393)),R393&gt;=AK393)),"Ganador",IF(AJ393&lt;=Resumen!$C$6,"Perdedor","Normal")),IF(ISNUMBER(AH393),IF(AH393&gt;=Resumen!$C$5,"Ganador (7 d, provisional)",IF(AH393&lt;=Resumen!$C$6,"Perdedor (7 d, provisional)","Normal (7 d, provisional)")),""))</f>
        <v/>
      </c>
      <c r="AM393" s="18" t="str">
        <f aca="false">IF(AND(ISNUMBER(Z393),ISNUMBER(N393)),IF(N393&gt;0,Z393/N393*1000,""),"")</f>
        <v/>
      </c>
      <c r="AN393" s="19" t="str">
        <f aca="false">IF(AND(ISNUMBER(U393),ISNUMBER(N393)),IF(N393&gt;0,U393/N393*1000,""),"")</f>
        <v/>
      </c>
    </row>
    <row r="394" customFormat="false" ht="15" hidden="false" customHeight="false" outlineLevel="0" collapsed="false">
      <c r="A394" s="7"/>
      <c r="B394" s="7"/>
      <c r="C394" s="8"/>
      <c r="D394" s="7"/>
      <c r="E394" s="7"/>
      <c r="F394" s="7"/>
      <c r="G394" s="7"/>
      <c r="H394" s="7"/>
      <c r="I394" s="7"/>
      <c r="J394" s="7"/>
      <c r="K394" s="9"/>
      <c r="L394" s="10"/>
      <c r="M394" s="10"/>
      <c r="N394" s="10"/>
      <c r="O394" s="10"/>
      <c r="P394" s="11"/>
      <c r="Q394" s="9"/>
      <c r="R394" s="12" t="str">
        <f aca="false">IF(AND(ISNUMBER(K394),ISNUMBER(Q394),K394&gt;0),Q394/K394,"")</f>
        <v/>
      </c>
      <c r="S394" s="11"/>
      <c r="T394" s="9"/>
      <c r="U394" s="10"/>
      <c r="V394" s="11"/>
      <c r="W394" s="11"/>
      <c r="X394" s="11"/>
      <c r="Y394" s="12" t="str">
        <f aca="false">IF(COUNT(V394:X394)=0,"",MAX(0,1-SUM(V394:X394)))</f>
        <v/>
      </c>
      <c r="Z394" s="13"/>
      <c r="AA394" s="9"/>
      <c r="AB394" s="7"/>
      <c r="AC394" s="7"/>
      <c r="AD394" s="7"/>
      <c r="AE394" s="7"/>
      <c r="AF394" s="14" t="str">
        <f aca="false">IF(D394="","",COUNTIF($D$2:D394,D394))</f>
        <v/>
      </c>
      <c r="AG394" s="15" t="str">
        <f aca="false" t="array" ref="AG394:AG394">IF(D394="","",IFERROR(MEDIAN(IF(($D$2:$D$401=D394)*($AF$2:$AF$401&gt;=AF394-5)*($AF$2:$AF$401&lt;=AF394-1)*($M$2:$M$401&lt;&gt;""),$M$2:$M$401)),""))</f>
        <v/>
      </c>
      <c r="AH394" s="16" t="str">
        <f aca="false">IF(AND(ISNUMBER(M394),ISNUMBER(AG394)),IF(AG394&gt;0,M394/AG394,""),"")</f>
        <v/>
      </c>
      <c r="AI394" s="15" t="str">
        <f aca="false" t="array" ref="AI394:AI394">IF(D394="","",IFERROR(MEDIAN(IF(($D$2:$D$401=D394)*($AF$2:$AF$401&gt;=AF394-5)*($AF$2:$AF$401&lt;=AF394-1)*($N$2:$N$401&lt;&gt;""),$N$2:$N$401)),""))</f>
        <v/>
      </c>
      <c r="AJ394" s="16" t="str">
        <f aca="false">IF(AND(ISNUMBER(N394),ISNUMBER(AI394)),IF(AI394&gt;0,N394/AI394,""),"")</f>
        <v/>
      </c>
      <c r="AK394" s="12" t="str">
        <f aca="false" t="array" ref="AK394:AK394">IF(D394="","",IFERROR(MEDIAN(IF(($D$2:$D$401=D394)*ISNUMBER($R$2:$R$401),$R$2:$R$401)),""))</f>
        <v/>
      </c>
      <c r="AL394" s="17" t="str">
        <f aca="false">IF(ISNUMBER(AJ394),IF(AND(AJ394&gt;=Resumen!$C$5,OR(NOT(ISNUMBER(R394)),NOT(ISNUMBER(AK394)),R394&gt;=AK394)),"Ganador",IF(AJ394&lt;=Resumen!$C$6,"Perdedor","Normal")),IF(ISNUMBER(AH394),IF(AH394&gt;=Resumen!$C$5,"Ganador (7 d, provisional)",IF(AH394&lt;=Resumen!$C$6,"Perdedor (7 d, provisional)","Normal (7 d, provisional)")),""))</f>
        <v/>
      </c>
      <c r="AM394" s="18" t="str">
        <f aca="false">IF(AND(ISNUMBER(Z394),ISNUMBER(N394)),IF(N394&gt;0,Z394/N394*1000,""),"")</f>
        <v/>
      </c>
      <c r="AN394" s="19" t="str">
        <f aca="false">IF(AND(ISNUMBER(U394),ISNUMBER(N394)),IF(N394&gt;0,U394/N394*1000,""),"")</f>
        <v/>
      </c>
    </row>
    <row r="395" customFormat="false" ht="15" hidden="false" customHeight="false" outlineLevel="0" collapsed="false">
      <c r="A395" s="7"/>
      <c r="B395" s="7"/>
      <c r="C395" s="8"/>
      <c r="D395" s="7"/>
      <c r="E395" s="7"/>
      <c r="F395" s="7"/>
      <c r="G395" s="7"/>
      <c r="H395" s="7"/>
      <c r="I395" s="7"/>
      <c r="J395" s="7"/>
      <c r="K395" s="9"/>
      <c r="L395" s="10"/>
      <c r="M395" s="10"/>
      <c r="N395" s="10"/>
      <c r="O395" s="10"/>
      <c r="P395" s="11"/>
      <c r="Q395" s="9"/>
      <c r="R395" s="12" t="str">
        <f aca="false">IF(AND(ISNUMBER(K395),ISNUMBER(Q395),K395&gt;0),Q395/K395,"")</f>
        <v/>
      </c>
      <c r="S395" s="11"/>
      <c r="T395" s="9"/>
      <c r="U395" s="10"/>
      <c r="V395" s="11"/>
      <c r="W395" s="11"/>
      <c r="X395" s="11"/>
      <c r="Y395" s="12" t="str">
        <f aca="false">IF(COUNT(V395:X395)=0,"",MAX(0,1-SUM(V395:X395)))</f>
        <v/>
      </c>
      <c r="Z395" s="13"/>
      <c r="AA395" s="9"/>
      <c r="AB395" s="7"/>
      <c r="AC395" s="7"/>
      <c r="AD395" s="7"/>
      <c r="AE395" s="7"/>
      <c r="AF395" s="14" t="str">
        <f aca="false">IF(D395="","",COUNTIF($D$2:D395,D395))</f>
        <v/>
      </c>
      <c r="AG395" s="15" t="str">
        <f aca="false" t="array" ref="AG395:AG395">IF(D395="","",IFERROR(MEDIAN(IF(($D$2:$D$401=D395)*($AF$2:$AF$401&gt;=AF395-5)*($AF$2:$AF$401&lt;=AF395-1)*($M$2:$M$401&lt;&gt;""),$M$2:$M$401)),""))</f>
        <v/>
      </c>
      <c r="AH395" s="16" t="str">
        <f aca="false">IF(AND(ISNUMBER(M395),ISNUMBER(AG395)),IF(AG395&gt;0,M395/AG395,""),"")</f>
        <v/>
      </c>
      <c r="AI395" s="15" t="str">
        <f aca="false" t="array" ref="AI395:AI395">IF(D395="","",IFERROR(MEDIAN(IF(($D$2:$D$401=D395)*($AF$2:$AF$401&gt;=AF395-5)*($AF$2:$AF$401&lt;=AF395-1)*($N$2:$N$401&lt;&gt;""),$N$2:$N$401)),""))</f>
        <v/>
      </c>
      <c r="AJ395" s="16" t="str">
        <f aca="false">IF(AND(ISNUMBER(N395),ISNUMBER(AI395)),IF(AI395&gt;0,N395/AI395,""),"")</f>
        <v/>
      </c>
      <c r="AK395" s="12" t="str">
        <f aca="false" t="array" ref="AK395:AK395">IF(D395="","",IFERROR(MEDIAN(IF(($D$2:$D$401=D395)*ISNUMBER($R$2:$R$401),$R$2:$R$401)),""))</f>
        <v/>
      </c>
      <c r="AL395" s="17" t="str">
        <f aca="false">IF(ISNUMBER(AJ395),IF(AND(AJ395&gt;=Resumen!$C$5,OR(NOT(ISNUMBER(R395)),NOT(ISNUMBER(AK395)),R395&gt;=AK395)),"Ganador",IF(AJ395&lt;=Resumen!$C$6,"Perdedor","Normal")),IF(ISNUMBER(AH395),IF(AH395&gt;=Resumen!$C$5,"Ganador (7 d, provisional)",IF(AH395&lt;=Resumen!$C$6,"Perdedor (7 d, provisional)","Normal (7 d, provisional)")),""))</f>
        <v/>
      </c>
      <c r="AM395" s="18" t="str">
        <f aca="false">IF(AND(ISNUMBER(Z395),ISNUMBER(N395)),IF(N395&gt;0,Z395/N395*1000,""),"")</f>
        <v/>
      </c>
      <c r="AN395" s="19" t="str">
        <f aca="false">IF(AND(ISNUMBER(U395),ISNUMBER(N395)),IF(N395&gt;0,U395/N395*1000,""),"")</f>
        <v/>
      </c>
    </row>
    <row r="396" customFormat="false" ht="15" hidden="false" customHeight="false" outlineLevel="0" collapsed="false">
      <c r="A396" s="7"/>
      <c r="B396" s="7"/>
      <c r="C396" s="8"/>
      <c r="D396" s="7"/>
      <c r="E396" s="7"/>
      <c r="F396" s="7"/>
      <c r="G396" s="7"/>
      <c r="H396" s="7"/>
      <c r="I396" s="7"/>
      <c r="J396" s="7"/>
      <c r="K396" s="9"/>
      <c r="L396" s="10"/>
      <c r="M396" s="10"/>
      <c r="N396" s="10"/>
      <c r="O396" s="10"/>
      <c r="P396" s="11"/>
      <c r="Q396" s="9"/>
      <c r="R396" s="12" t="str">
        <f aca="false">IF(AND(ISNUMBER(K396),ISNUMBER(Q396),K396&gt;0),Q396/K396,"")</f>
        <v/>
      </c>
      <c r="S396" s="11"/>
      <c r="T396" s="9"/>
      <c r="U396" s="10"/>
      <c r="V396" s="11"/>
      <c r="W396" s="11"/>
      <c r="X396" s="11"/>
      <c r="Y396" s="12" t="str">
        <f aca="false">IF(COUNT(V396:X396)=0,"",MAX(0,1-SUM(V396:X396)))</f>
        <v/>
      </c>
      <c r="Z396" s="13"/>
      <c r="AA396" s="9"/>
      <c r="AB396" s="7"/>
      <c r="AC396" s="7"/>
      <c r="AD396" s="7"/>
      <c r="AE396" s="7"/>
      <c r="AF396" s="14" t="str">
        <f aca="false">IF(D396="","",COUNTIF($D$2:D396,D396))</f>
        <v/>
      </c>
      <c r="AG396" s="15" t="str">
        <f aca="false" t="array" ref="AG396:AG396">IF(D396="","",IFERROR(MEDIAN(IF(($D$2:$D$401=D396)*($AF$2:$AF$401&gt;=AF396-5)*($AF$2:$AF$401&lt;=AF396-1)*($M$2:$M$401&lt;&gt;""),$M$2:$M$401)),""))</f>
        <v/>
      </c>
      <c r="AH396" s="16" t="str">
        <f aca="false">IF(AND(ISNUMBER(M396),ISNUMBER(AG396)),IF(AG396&gt;0,M396/AG396,""),"")</f>
        <v/>
      </c>
      <c r="AI396" s="15" t="str">
        <f aca="false" t="array" ref="AI396:AI396">IF(D396="","",IFERROR(MEDIAN(IF(($D$2:$D$401=D396)*($AF$2:$AF$401&gt;=AF396-5)*($AF$2:$AF$401&lt;=AF396-1)*($N$2:$N$401&lt;&gt;""),$N$2:$N$401)),""))</f>
        <v/>
      </c>
      <c r="AJ396" s="16" t="str">
        <f aca="false">IF(AND(ISNUMBER(N396),ISNUMBER(AI396)),IF(AI396&gt;0,N396/AI396,""),"")</f>
        <v/>
      </c>
      <c r="AK396" s="12" t="str">
        <f aca="false" t="array" ref="AK396:AK396">IF(D396="","",IFERROR(MEDIAN(IF(($D$2:$D$401=D396)*ISNUMBER($R$2:$R$401),$R$2:$R$401)),""))</f>
        <v/>
      </c>
      <c r="AL396" s="17" t="str">
        <f aca="false">IF(ISNUMBER(AJ396),IF(AND(AJ396&gt;=Resumen!$C$5,OR(NOT(ISNUMBER(R396)),NOT(ISNUMBER(AK396)),R396&gt;=AK396)),"Ganador",IF(AJ396&lt;=Resumen!$C$6,"Perdedor","Normal")),IF(ISNUMBER(AH396),IF(AH396&gt;=Resumen!$C$5,"Ganador (7 d, provisional)",IF(AH396&lt;=Resumen!$C$6,"Perdedor (7 d, provisional)","Normal (7 d, provisional)")),""))</f>
        <v/>
      </c>
      <c r="AM396" s="18" t="str">
        <f aca="false">IF(AND(ISNUMBER(Z396),ISNUMBER(N396)),IF(N396&gt;0,Z396/N396*1000,""),"")</f>
        <v/>
      </c>
      <c r="AN396" s="19" t="str">
        <f aca="false">IF(AND(ISNUMBER(U396),ISNUMBER(N396)),IF(N396&gt;0,U396/N396*1000,""),"")</f>
        <v/>
      </c>
    </row>
    <row r="397" customFormat="false" ht="15" hidden="false" customHeight="false" outlineLevel="0" collapsed="false">
      <c r="A397" s="7"/>
      <c r="B397" s="7"/>
      <c r="C397" s="8"/>
      <c r="D397" s="7"/>
      <c r="E397" s="7"/>
      <c r="F397" s="7"/>
      <c r="G397" s="7"/>
      <c r="H397" s="7"/>
      <c r="I397" s="7"/>
      <c r="J397" s="7"/>
      <c r="K397" s="9"/>
      <c r="L397" s="10"/>
      <c r="M397" s="10"/>
      <c r="N397" s="10"/>
      <c r="O397" s="10"/>
      <c r="P397" s="11"/>
      <c r="Q397" s="9"/>
      <c r="R397" s="12" t="str">
        <f aca="false">IF(AND(ISNUMBER(K397),ISNUMBER(Q397),K397&gt;0),Q397/K397,"")</f>
        <v/>
      </c>
      <c r="S397" s="11"/>
      <c r="T397" s="9"/>
      <c r="U397" s="10"/>
      <c r="V397" s="11"/>
      <c r="W397" s="11"/>
      <c r="X397" s="11"/>
      <c r="Y397" s="12" t="str">
        <f aca="false">IF(COUNT(V397:X397)=0,"",MAX(0,1-SUM(V397:X397)))</f>
        <v/>
      </c>
      <c r="Z397" s="13"/>
      <c r="AA397" s="9"/>
      <c r="AB397" s="7"/>
      <c r="AC397" s="7"/>
      <c r="AD397" s="7"/>
      <c r="AE397" s="7"/>
      <c r="AF397" s="14" t="str">
        <f aca="false">IF(D397="","",COUNTIF($D$2:D397,D397))</f>
        <v/>
      </c>
      <c r="AG397" s="15" t="str">
        <f aca="false" t="array" ref="AG397:AG397">IF(D397="","",IFERROR(MEDIAN(IF(($D$2:$D$401=D397)*($AF$2:$AF$401&gt;=AF397-5)*($AF$2:$AF$401&lt;=AF397-1)*($M$2:$M$401&lt;&gt;""),$M$2:$M$401)),""))</f>
        <v/>
      </c>
      <c r="AH397" s="16" t="str">
        <f aca="false">IF(AND(ISNUMBER(M397),ISNUMBER(AG397)),IF(AG397&gt;0,M397/AG397,""),"")</f>
        <v/>
      </c>
      <c r="AI397" s="15" t="str">
        <f aca="false" t="array" ref="AI397:AI397">IF(D397="","",IFERROR(MEDIAN(IF(($D$2:$D$401=D397)*($AF$2:$AF$401&gt;=AF397-5)*($AF$2:$AF$401&lt;=AF397-1)*($N$2:$N$401&lt;&gt;""),$N$2:$N$401)),""))</f>
        <v/>
      </c>
      <c r="AJ397" s="16" t="str">
        <f aca="false">IF(AND(ISNUMBER(N397),ISNUMBER(AI397)),IF(AI397&gt;0,N397/AI397,""),"")</f>
        <v/>
      </c>
      <c r="AK397" s="12" t="str">
        <f aca="false" t="array" ref="AK397:AK397">IF(D397="","",IFERROR(MEDIAN(IF(($D$2:$D$401=D397)*ISNUMBER($R$2:$R$401),$R$2:$R$401)),""))</f>
        <v/>
      </c>
      <c r="AL397" s="17" t="str">
        <f aca="false">IF(ISNUMBER(AJ397),IF(AND(AJ397&gt;=Resumen!$C$5,OR(NOT(ISNUMBER(R397)),NOT(ISNUMBER(AK397)),R397&gt;=AK397)),"Ganador",IF(AJ397&lt;=Resumen!$C$6,"Perdedor","Normal")),IF(ISNUMBER(AH397),IF(AH397&gt;=Resumen!$C$5,"Ganador (7 d, provisional)",IF(AH397&lt;=Resumen!$C$6,"Perdedor (7 d, provisional)","Normal (7 d, provisional)")),""))</f>
        <v/>
      </c>
      <c r="AM397" s="18" t="str">
        <f aca="false">IF(AND(ISNUMBER(Z397),ISNUMBER(N397)),IF(N397&gt;0,Z397/N397*1000,""),"")</f>
        <v/>
      </c>
      <c r="AN397" s="19" t="str">
        <f aca="false">IF(AND(ISNUMBER(U397),ISNUMBER(N397)),IF(N397&gt;0,U397/N397*1000,""),"")</f>
        <v/>
      </c>
    </row>
    <row r="398" customFormat="false" ht="15" hidden="false" customHeight="false" outlineLevel="0" collapsed="false">
      <c r="A398" s="7"/>
      <c r="B398" s="7"/>
      <c r="C398" s="8"/>
      <c r="D398" s="7"/>
      <c r="E398" s="7"/>
      <c r="F398" s="7"/>
      <c r="G398" s="7"/>
      <c r="H398" s="7"/>
      <c r="I398" s="7"/>
      <c r="J398" s="7"/>
      <c r="K398" s="9"/>
      <c r="L398" s="10"/>
      <c r="M398" s="10"/>
      <c r="N398" s="10"/>
      <c r="O398" s="10"/>
      <c r="P398" s="11"/>
      <c r="Q398" s="9"/>
      <c r="R398" s="12" t="str">
        <f aca="false">IF(AND(ISNUMBER(K398),ISNUMBER(Q398),K398&gt;0),Q398/K398,"")</f>
        <v/>
      </c>
      <c r="S398" s="11"/>
      <c r="T398" s="9"/>
      <c r="U398" s="10"/>
      <c r="V398" s="11"/>
      <c r="W398" s="11"/>
      <c r="X398" s="11"/>
      <c r="Y398" s="12" t="str">
        <f aca="false">IF(COUNT(V398:X398)=0,"",MAX(0,1-SUM(V398:X398)))</f>
        <v/>
      </c>
      <c r="Z398" s="13"/>
      <c r="AA398" s="9"/>
      <c r="AB398" s="7"/>
      <c r="AC398" s="7"/>
      <c r="AD398" s="7"/>
      <c r="AE398" s="7"/>
      <c r="AF398" s="14" t="str">
        <f aca="false">IF(D398="","",COUNTIF($D$2:D398,D398))</f>
        <v/>
      </c>
      <c r="AG398" s="15" t="str">
        <f aca="false" t="array" ref="AG398:AG398">IF(D398="","",IFERROR(MEDIAN(IF(($D$2:$D$401=D398)*($AF$2:$AF$401&gt;=AF398-5)*($AF$2:$AF$401&lt;=AF398-1)*($M$2:$M$401&lt;&gt;""),$M$2:$M$401)),""))</f>
        <v/>
      </c>
      <c r="AH398" s="16" t="str">
        <f aca="false">IF(AND(ISNUMBER(M398),ISNUMBER(AG398)),IF(AG398&gt;0,M398/AG398,""),"")</f>
        <v/>
      </c>
      <c r="AI398" s="15" t="str">
        <f aca="false" t="array" ref="AI398:AI398">IF(D398="","",IFERROR(MEDIAN(IF(($D$2:$D$401=D398)*($AF$2:$AF$401&gt;=AF398-5)*($AF$2:$AF$401&lt;=AF398-1)*($N$2:$N$401&lt;&gt;""),$N$2:$N$401)),""))</f>
        <v/>
      </c>
      <c r="AJ398" s="16" t="str">
        <f aca="false">IF(AND(ISNUMBER(N398),ISNUMBER(AI398)),IF(AI398&gt;0,N398/AI398,""),"")</f>
        <v/>
      </c>
      <c r="AK398" s="12" t="str">
        <f aca="false" t="array" ref="AK398:AK398">IF(D398="","",IFERROR(MEDIAN(IF(($D$2:$D$401=D398)*ISNUMBER($R$2:$R$401),$R$2:$R$401)),""))</f>
        <v/>
      </c>
      <c r="AL398" s="17" t="str">
        <f aca="false">IF(ISNUMBER(AJ398),IF(AND(AJ398&gt;=Resumen!$C$5,OR(NOT(ISNUMBER(R398)),NOT(ISNUMBER(AK398)),R398&gt;=AK398)),"Ganador",IF(AJ398&lt;=Resumen!$C$6,"Perdedor","Normal")),IF(ISNUMBER(AH398),IF(AH398&gt;=Resumen!$C$5,"Ganador (7 d, provisional)",IF(AH398&lt;=Resumen!$C$6,"Perdedor (7 d, provisional)","Normal (7 d, provisional)")),""))</f>
        <v/>
      </c>
      <c r="AM398" s="18" t="str">
        <f aca="false">IF(AND(ISNUMBER(Z398),ISNUMBER(N398)),IF(N398&gt;0,Z398/N398*1000,""),"")</f>
        <v/>
      </c>
      <c r="AN398" s="19" t="str">
        <f aca="false">IF(AND(ISNUMBER(U398),ISNUMBER(N398)),IF(N398&gt;0,U398/N398*1000,""),"")</f>
        <v/>
      </c>
    </row>
    <row r="399" customFormat="false" ht="15" hidden="false" customHeight="false" outlineLevel="0" collapsed="false">
      <c r="A399" s="7"/>
      <c r="B399" s="7"/>
      <c r="C399" s="8"/>
      <c r="D399" s="7"/>
      <c r="E399" s="7"/>
      <c r="F399" s="7"/>
      <c r="G399" s="7"/>
      <c r="H399" s="7"/>
      <c r="I399" s="7"/>
      <c r="J399" s="7"/>
      <c r="K399" s="9"/>
      <c r="L399" s="10"/>
      <c r="M399" s="10"/>
      <c r="N399" s="10"/>
      <c r="O399" s="10"/>
      <c r="P399" s="11"/>
      <c r="Q399" s="9"/>
      <c r="R399" s="12" t="str">
        <f aca="false">IF(AND(ISNUMBER(K399),ISNUMBER(Q399),K399&gt;0),Q399/K399,"")</f>
        <v/>
      </c>
      <c r="S399" s="11"/>
      <c r="T399" s="9"/>
      <c r="U399" s="10"/>
      <c r="V399" s="11"/>
      <c r="W399" s="11"/>
      <c r="X399" s="11"/>
      <c r="Y399" s="12" t="str">
        <f aca="false">IF(COUNT(V399:X399)=0,"",MAX(0,1-SUM(V399:X399)))</f>
        <v/>
      </c>
      <c r="Z399" s="13"/>
      <c r="AA399" s="9"/>
      <c r="AB399" s="7"/>
      <c r="AC399" s="7"/>
      <c r="AD399" s="7"/>
      <c r="AE399" s="7"/>
      <c r="AF399" s="14" t="str">
        <f aca="false">IF(D399="","",COUNTIF($D$2:D399,D399))</f>
        <v/>
      </c>
      <c r="AG399" s="15" t="str">
        <f aca="false" t="array" ref="AG399:AG399">IF(D399="","",IFERROR(MEDIAN(IF(($D$2:$D$401=D399)*($AF$2:$AF$401&gt;=AF399-5)*($AF$2:$AF$401&lt;=AF399-1)*($M$2:$M$401&lt;&gt;""),$M$2:$M$401)),""))</f>
        <v/>
      </c>
      <c r="AH399" s="16" t="str">
        <f aca="false">IF(AND(ISNUMBER(M399),ISNUMBER(AG399)),IF(AG399&gt;0,M399/AG399,""),"")</f>
        <v/>
      </c>
      <c r="AI399" s="15" t="str">
        <f aca="false" t="array" ref="AI399:AI399">IF(D399="","",IFERROR(MEDIAN(IF(($D$2:$D$401=D399)*($AF$2:$AF$401&gt;=AF399-5)*($AF$2:$AF$401&lt;=AF399-1)*($N$2:$N$401&lt;&gt;""),$N$2:$N$401)),""))</f>
        <v/>
      </c>
      <c r="AJ399" s="16" t="str">
        <f aca="false">IF(AND(ISNUMBER(N399),ISNUMBER(AI399)),IF(AI399&gt;0,N399/AI399,""),"")</f>
        <v/>
      </c>
      <c r="AK399" s="12" t="str">
        <f aca="false" t="array" ref="AK399:AK399">IF(D399="","",IFERROR(MEDIAN(IF(($D$2:$D$401=D399)*ISNUMBER($R$2:$R$401),$R$2:$R$401)),""))</f>
        <v/>
      </c>
      <c r="AL399" s="17" t="str">
        <f aca="false">IF(ISNUMBER(AJ399),IF(AND(AJ399&gt;=Resumen!$C$5,OR(NOT(ISNUMBER(R399)),NOT(ISNUMBER(AK399)),R399&gt;=AK399)),"Ganador",IF(AJ399&lt;=Resumen!$C$6,"Perdedor","Normal")),IF(ISNUMBER(AH399),IF(AH399&gt;=Resumen!$C$5,"Ganador (7 d, provisional)",IF(AH399&lt;=Resumen!$C$6,"Perdedor (7 d, provisional)","Normal (7 d, provisional)")),""))</f>
        <v/>
      </c>
      <c r="AM399" s="18" t="str">
        <f aca="false">IF(AND(ISNUMBER(Z399),ISNUMBER(N399)),IF(N399&gt;0,Z399/N399*1000,""),"")</f>
        <v/>
      </c>
      <c r="AN399" s="19" t="str">
        <f aca="false">IF(AND(ISNUMBER(U399),ISNUMBER(N399)),IF(N399&gt;0,U399/N399*1000,""),"")</f>
        <v/>
      </c>
    </row>
    <row r="400" customFormat="false" ht="15" hidden="false" customHeight="false" outlineLevel="0" collapsed="false">
      <c r="A400" s="7"/>
      <c r="B400" s="7"/>
      <c r="C400" s="8"/>
      <c r="D400" s="7"/>
      <c r="E400" s="7"/>
      <c r="F400" s="7"/>
      <c r="G400" s="7"/>
      <c r="H400" s="7"/>
      <c r="I400" s="7"/>
      <c r="J400" s="7"/>
      <c r="K400" s="9"/>
      <c r="L400" s="10"/>
      <c r="M400" s="10"/>
      <c r="N400" s="10"/>
      <c r="O400" s="10"/>
      <c r="P400" s="11"/>
      <c r="Q400" s="9"/>
      <c r="R400" s="12" t="str">
        <f aca="false">IF(AND(ISNUMBER(K400),ISNUMBER(Q400),K400&gt;0),Q400/K400,"")</f>
        <v/>
      </c>
      <c r="S400" s="11"/>
      <c r="T400" s="9"/>
      <c r="U400" s="10"/>
      <c r="V400" s="11"/>
      <c r="W400" s="11"/>
      <c r="X400" s="11"/>
      <c r="Y400" s="12" t="str">
        <f aca="false">IF(COUNT(V400:X400)=0,"",MAX(0,1-SUM(V400:X400)))</f>
        <v/>
      </c>
      <c r="Z400" s="13"/>
      <c r="AA400" s="9"/>
      <c r="AB400" s="7"/>
      <c r="AC400" s="7"/>
      <c r="AD400" s="7"/>
      <c r="AE400" s="7"/>
      <c r="AF400" s="14" t="str">
        <f aca="false">IF(D400="","",COUNTIF($D$2:D400,D400))</f>
        <v/>
      </c>
      <c r="AG400" s="15" t="str">
        <f aca="false" t="array" ref="AG400:AG400">IF(D400="","",IFERROR(MEDIAN(IF(($D$2:$D$401=D400)*($AF$2:$AF$401&gt;=AF400-5)*($AF$2:$AF$401&lt;=AF400-1)*($M$2:$M$401&lt;&gt;""),$M$2:$M$401)),""))</f>
        <v/>
      </c>
      <c r="AH400" s="16" t="str">
        <f aca="false">IF(AND(ISNUMBER(M400),ISNUMBER(AG400)),IF(AG400&gt;0,M400/AG400,""),"")</f>
        <v/>
      </c>
      <c r="AI400" s="15" t="str">
        <f aca="false" t="array" ref="AI400:AI400">IF(D400="","",IFERROR(MEDIAN(IF(($D$2:$D$401=D400)*($AF$2:$AF$401&gt;=AF400-5)*($AF$2:$AF$401&lt;=AF400-1)*($N$2:$N$401&lt;&gt;""),$N$2:$N$401)),""))</f>
        <v/>
      </c>
      <c r="AJ400" s="16" t="str">
        <f aca="false">IF(AND(ISNUMBER(N400),ISNUMBER(AI400)),IF(AI400&gt;0,N400/AI400,""),"")</f>
        <v/>
      </c>
      <c r="AK400" s="12" t="str">
        <f aca="false" t="array" ref="AK400:AK400">IF(D400="","",IFERROR(MEDIAN(IF(($D$2:$D$401=D400)*ISNUMBER($R$2:$R$401),$R$2:$R$401)),""))</f>
        <v/>
      </c>
      <c r="AL400" s="17" t="str">
        <f aca="false">IF(ISNUMBER(AJ400),IF(AND(AJ400&gt;=Resumen!$C$5,OR(NOT(ISNUMBER(R400)),NOT(ISNUMBER(AK400)),R400&gt;=AK400)),"Ganador",IF(AJ400&lt;=Resumen!$C$6,"Perdedor","Normal")),IF(ISNUMBER(AH400),IF(AH400&gt;=Resumen!$C$5,"Ganador (7 d, provisional)",IF(AH400&lt;=Resumen!$C$6,"Perdedor (7 d, provisional)","Normal (7 d, provisional)")),""))</f>
        <v/>
      </c>
      <c r="AM400" s="18" t="str">
        <f aca="false">IF(AND(ISNUMBER(Z400),ISNUMBER(N400)),IF(N400&gt;0,Z400/N400*1000,""),"")</f>
        <v/>
      </c>
      <c r="AN400" s="19" t="str">
        <f aca="false">IF(AND(ISNUMBER(U400),ISNUMBER(N400)),IF(N400&gt;0,U400/N400*1000,""),"")</f>
        <v/>
      </c>
    </row>
    <row r="401" customFormat="false" ht="15" hidden="false" customHeight="false" outlineLevel="0" collapsed="false">
      <c r="A401" s="7"/>
      <c r="B401" s="7"/>
      <c r="C401" s="8"/>
      <c r="D401" s="7"/>
      <c r="E401" s="7"/>
      <c r="F401" s="7"/>
      <c r="G401" s="7"/>
      <c r="H401" s="7"/>
      <c r="I401" s="7"/>
      <c r="J401" s="7"/>
      <c r="K401" s="9"/>
      <c r="L401" s="10"/>
      <c r="M401" s="10"/>
      <c r="N401" s="10"/>
      <c r="O401" s="10"/>
      <c r="P401" s="11"/>
      <c r="Q401" s="9"/>
      <c r="R401" s="12" t="str">
        <f aca="false">IF(AND(ISNUMBER(K401),ISNUMBER(Q401),K401&gt;0),Q401/K401,"")</f>
        <v/>
      </c>
      <c r="S401" s="11"/>
      <c r="T401" s="9"/>
      <c r="U401" s="10"/>
      <c r="V401" s="11"/>
      <c r="W401" s="11"/>
      <c r="X401" s="11"/>
      <c r="Y401" s="12" t="str">
        <f aca="false">IF(COUNT(V401:X401)=0,"",MAX(0,1-SUM(V401:X401)))</f>
        <v/>
      </c>
      <c r="Z401" s="13"/>
      <c r="AA401" s="9"/>
      <c r="AB401" s="7"/>
      <c r="AC401" s="7"/>
      <c r="AD401" s="7"/>
      <c r="AE401" s="7"/>
      <c r="AF401" s="14" t="str">
        <f aca="false">IF(D401="","",COUNTIF($D$2:D401,D401))</f>
        <v/>
      </c>
      <c r="AG401" s="15" t="str">
        <f aca="false" t="array" ref="AG401:AG401">IF(D401="","",IFERROR(MEDIAN(IF(($D$2:$D$401=D401)*($AF$2:$AF$401&gt;=AF401-5)*($AF$2:$AF$401&lt;=AF401-1)*($M$2:$M$401&lt;&gt;""),$M$2:$M$401)),""))</f>
        <v/>
      </c>
      <c r="AH401" s="16" t="str">
        <f aca="false">IF(AND(ISNUMBER(M401),ISNUMBER(AG401)),IF(AG401&gt;0,M401/AG401,""),"")</f>
        <v/>
      </c>
      <c r="AI401" s="15" t="str">
        <f aca="false" t="array" ref="AI401:AI401">IF(D401="","",IFERROR(MEDIAN(IF(($D$2:$D$401=D401)*($AF$2:$AF$401&gt;=AF401-5)*($AF$2:$AF$401&lt;=AF401-1)*($N$2:$N$401&lt;&gt;""),$N$2:$N$401)),""))</f>
        <v/>
      </c>
      <c r="AJ401" s="16" t="str">
        <f aca="false">IF(AND(ISNUMBER(N401),ISNUMBER(AI401)),IF(AI401&gt;0,N401/AI401,""),"")</f>
        <v/>
      </c>
      <c r="AK401" s="12" t="str">
        <f aca="false" t="array" ref="AK401:AK401">IF(D401="","",IFERROR(MEDIAN(IF(($D$2:$D$401=D401)*ISNUMBER($R$2:$R$401),$R$2:$R$401)),""))</f>
        <v/>
      </c>
      <c r="AL401" s="17" t="str">
        <f aca="false">IF(ISNUMBER(AJ401),IF(AND(AJ401&gt;=Resumen!$C$5,OR(NOT(ISNUMBER(R401)),NOT(ISNUMBER(AK401)),R401&gt;=AK401)),"Ganador",IF(AJ401&lt;=Resumen!$C$6,"Perdedor","Normal")),IF(ISNUMBER(AH401),IF(AH401&gt;=Resumen!$C$5,"Ganador (7 d, provisional)",IF(AH401&lt;=Resumen!$C$6,"Perdedor (7 d, provisional)","Normal (7 d, provisional)")),""))</f>
        <v/>
      </c>
      <c r="AM401" s="18" t="str">
        <f aca="false">IF(AND(ISNUMBER(Z401),ISNUMBER(N401)),IF(N401&gt;0,Z401/N401*1000,""),"")</f>
        <v/>
      </c>
      <c r="AN401" s="19" t="str">
        <f aca="false">IF(AND(ISNUMBER(U401),ISNUMBER(N401)),IF(N401&gt;0,U401/N401*1000,""),"")</f>
        <v/>
      </c>
    </row>
  </sheetData>
  <conditionalFormatting sqref="AL2:AL401">
    <cfRule type="expression" priority="2" aboveAverage="0" equalAverage="0" bottom="0" percent="0" rank="0" text="" dxfId="0">
      <formula>LEFT(AL2,7)="Ganador"</formula>
    </cfRule>
    <cfRule type="expression" priority="3" aboveAverage="0" equalAverage="0" bottom="0" percent="0" rank="0" text="" dxfId="1">
      <formula>LEFT(AL2,8)="Perdedor"</formula>
    </cfRule>
  </conditionalFormatting>
  <dataValidations count="5">
    <dataValidation allowBlank="true" errorStyle="stop" operator="between" showDropDown="false" showErrorMessage="false" showInputMessage="false" sqref="B2:B401" type="list">
      <formula1>"idea,planificado,en producción,programado,publicado"</formula1>
      <formula2>0</formula2>
    </dataValidation>
    <dataValidation allowBlank="true" errorStyle="stop" operator="between" showDropDown="false" showErrorMessage="false" showInputMessage="false" sqref="D2:D401" type="list">
      <formula1>"Largo,Short"</formula1>
      <formula2>0</formula2>
    </dataValidation>
    <dataValidation allowBlank="true" errorStyle="stop" operator="between" showDropDown="false" showErrorMessage="false" showInputMessage="false" sqref="E2:E401" type="list">
      <formula1>"P1,P2,P3,P4"</formula1>
      <formula2>0</formula2>
    </dataValidation>
    <dataValidation allowBlank="true" errorStyle="stop" operator="between" showDropDown="false" showErrorMessage="false" showInputMessage="false" sqref="AB2:AB401" type="list">
      <formula1>"sin YPP,YPP ampliado,YPP anuncios - completos,YPP anuncios - limitados,sin anuncios"</formula1>
      <formula2>0</formula2>
    </dataValidation>
    <dataValidation allowBlank="true" errorStyle="stop" operator="between" showDropDown="false" showErrorMessage="false" showInputMessage="false" sqref="AC2:AC401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14" min="6" style="0" width="10"/>
    <col collapsed="false" customWidth="true" hidden="false" outlineLevel="0" max="15" min="15" style="0" width="22"/>
    <col collapsed="false" customWidth="true" hidden="false" outlineLevel="0" max="16" min="16" style="0" width="14"/>
    <col collapsed="false" customWidth="true" hidden="false" outlineLevel="0" max="17" min="17" style="0" width="9"/>
  </cols>
  <sheetData>
    <row r="1" customFormat="false" ht="30" hidden="false" customHeight="true" outlineLevel="0" collapsed="false">
      <c r="A1" s="5" t="s">
        <v>21</v>
      </c>
      <c r="B1" s="5" t="s">
        <v>25</v>
      </c>
      <c r="C1" s="5" t="s">
        <v>26</v>
      </c>
      <c r="D1" s="5" t="s">
        <v>27</v>
      </c>
      <c r="E1" s="5" t="s">
        <v>126</v>
      </c>
      <c r="F1" s="5" t="s">
        <v>127</v>
      </c>
      <c r="G1" s="5" t="s">
        <v>128</v>
      </c>
      <c r="H1" s="5" t="s">
        <v>129</v>
      </c>
      <c r="I1" s="5" t="s">
        <v>130</v>
      </c>
      <c r="J1" s="5" t="s">
        <v>131</v>
      </c>
      <c r="K1" s="5" t="s">
        <v>132</v>
      </c>
      <c r="L1" s="5" t="s">
        <v>133</v>
      </c>
      <c r="M1" s="5" t="s">
        <v>134</v>
      </c>
      <c r="N1" s="5" t="s">
        <v>135</v>
      </c>
      <c r="O1" s="5" t="s">
        <v>136</v>
      </c>
      <c r="P1" s="5" t="s">
        <v>137</v>
      </c>
      <c r="Q1" s="5" t="s">
        <v>138</v>
      </c>
    </row>
    <row r="2" customFormat="false" ht="15" hidden="false" customHeight="false" outlineLevel="0" collapsed="false">
      <c r="A2" s="20" t="s">
        <v>139</v>
      </c>
      <c r="B2" s="1"/>
      <c r="C2" s="1"/>
      <c r="D2" s="1"/>
      <c r="E2" s="21" t="s">
        <v>140</v>
      </c>
      <c r="F2" s="22" t="n">
        <v>20</v>
      </c>
      <c r="G2" s="22" t="n">
        <v>15</v>
      </c>
      <c r="H2" s="22" t="n">
        <v>15</v>
      </c>
      <c r="I2" s="22" t="n">
        <v>15</v>
      </c>
      <c r="J2" s="22" t="n">
        <v>10</v>
      </c>
      <c r="K2" s="22" t="n">
        <v>10</v>
      </c>
      <c r="L2" s="22" t="n">
        <v>5</v>
      </c>
      <c r="M2" s="22" t="n">
        <v>10</v>
      </c>
      <c r="N2" s="14" t="n">
        <f aca="false">SUM(F2:M2)</f>
        <v>100</v>
      </c>
      <c r="O2" s="1"/>
      <c r="P2" s="1"/>
      <c r="Q2" s="1"/>
    </row>
    <row r="3" customFormat="false" ht="26.85" hidden="false" customHeight="false" outlineLevel="0" collapsed="false">
      <c r="A3" s="23" t="s">
        <v>141</v>
      </c>
      <c r="B3" s="23" t="s">
        <v>64</v>
      </c>
      <c r="C3" s="23" t="s">
        <v>65</v>
      </c>
      <c r="D3" s="23" t="s">
        <v>66</v>
      </c>
      <c r="E3" s="23" t="s">
        <v>142</v>
      </c>
      <c r="F3" s="23" t="n">
        <v>5</v>
      </c>
      <c r="G3" s="23" t="n">
        <v>5</v>
      </c>
      <c r="H3" s="23" t="n">
        <v>5</v>
      </c>
      <c r="I3" s="23" t="n">
        <v>4</v>
      </c>
      <c r="J3" s="23" t="n">
        <v>3</v>
      </c>
      <c r="K3" s="23" t="n">
        <v>3</v>
      </c>
      <c r="L3" s="23" t="n">
        <v>5</v>
      </c>
      <c r="M3" s="23" t="n">
        <v>4</v>
      </c>
      <c r="N3" s="24" t="n">
        <f aca="false">SUMPRODUCT(F3:M3,$F$2:$M$2)/5</f>
        <v>87</v>
      </c>
      <c r="O3" s="3" t="str">
        <f aca="false">IF(N3&gt;=75,"producir pronto",IF(N3&gt;=60,"banco","reformular o descartar"))</f>
        <v>producir pronto</v>
      </c>
      <c r="P3" s="23" t="s">
        <v>62</v>
      </c>
      <c r="Q3" s="23" t="s">
        <v>61</v>
      </c>
    </row>
    <row r="4" customFormat="false" ht="26.85" hidden="false" customHeight="false" outlineLevel="0" collapsed="false">
      <c r="A4" s="23" t="s">
        <v>143</v>
      </c>
      <c r="B4" s="23" t="s">
        <v>76</v>
      </c>
      <c r="C4" s="23" t="s">
        <v>77</v>
      </c>
      <c r="D4" s="23" t="s">
        <v>78</v>
      </c>
      <c r="E4" s="23" t="s">
        <v>144</v>
      </c>
      <c r="F4" s="23" t="n">
        <v>4</v>
      </c>
      <c r="G4" s="23" t="n">
        <v>4</v>
      </c>
      <c r="H4" s="23" t="n">
        <v>4</v>
      </c>
      <c r="I4" s="23" t="n">
        <v>5</v>
      </c>
      <c r="J4" s="23" t="n">
        <v>4</v>
      </c>
      <c r="K4" s="23" t="n">
        <v>5</v>
      </c>
      <c r="L4" s="23" t="n">
        <v>4</v>
      </c>
      <c r="M4" s="23" t="n">
        <v>4</v>
      </c>
      <c r="N4" s="24" t="n">
        <f aca="false">SUMPRODUCT(F4:M4,$F$2:$M$2)/5</f>
        <v>85</v>
      </c>
      <c r="O4" s="3" t="str">
        <f aca="false">IF(N4&gt;=75,"producir pronto",IF(N4&gt;=60,"banco","reformular o descartar"))</f>
        <v>producir pronto</v>
      </c>
      <c r="P4" s="23" t="s">
        <v>62</v>
      </c>
      <c r="Q4" s="23" t="s">
        <v>75</v>
      </c>
    </row>
    <row r="5" customFormat="false" ht="15" hidden="false" customHeight="false" outlineLevel="0" collapsed="false">
      <c r="A5" s="23" t="s">
        <v>145</v>
      </c>
      <c r="B5" s="23" t="s">
        <v>64</v>
      </c>
      <c r="C5" s="23" t="s">
        <v>85</v>
      </c>
      <c r="D5" s="23" t="s">
        <v>86</v>
      </c>
      <c r="E5" s="23" t="s">
        <v>146</v>
      </c>
      <c r="F5" s="23" t="n">
        <v>3</v>
      </c>
      <c r="G5" s="23" t="n">
        <v>5</v>
      </c>
      <c r="H5" s="23" t="n">
        <v>5</v>
      </c>
      <c r="I5" s="23" t="n">
        <v>5</v>
      </c>
      <c r="J5" s="23" t="n">
        <v>3</v>
      </c>
      <c r="K5" s="23" t="n">
        <v>5</v>
      </c>
      <c r="L5" s="23" t="n">
        <v>4</v>
      </c>
      <c r="M5" s="23" t="n">
        <v>3</v>
      </c>
      <c r="N5" s="24" t="n">
        <f aca="false">SUMPRODUCT(F5:M5,$F$2:$M$2)/5</f>
        <v>83</v>
      </c>
      <c r="O5" s="3" t="str">
        <f aca="false">IF(N5&gt;=75,"producir pronto",IF(N5&gt;=60,"banco","reformular o descartar"))</f>
        <v>producir pronto</v>
      </c>
      <c r="P5" s="23" t="s">
        <v>62</v>
      </c>
      <c r="Q5" s="23" t="s">
        <v>84</v>
      </c>
    </row>
    <row r="6" customFormat="false" ht="26.85" hidden="false" customHeight="false" outlineLevel="0" collapsed="false">
      <c r="A6" s="23" t="s">
        <v>147</v>
      </c>
      <c r="B6" s="23" t="s">
        <v>64</v>
      </c>
      <c r="C6" s="23" t="s">
        <v>96</v>
      </c>
      <c r="D6" s="23" t="s">
        <v>97</v>
      </c>
      <c r="E6" s="23" t="s">
        <v>148</v>
      </c>
      <c r="F6" s="23" t="n">
        <v>4</v>
      </c>
      <c r="G6" s="23" t="n">
        <v>4</v>
      </c>
      <c r="H6" s="23" t="n">
        <v>5</v>
      </c>
      <c r="I6" s="23" t="n">
        <v>4</v>
      </c>
      <c r="J6" s="23" t="n">
        <v>3</v>
      </c>
      <c r="K6" s="23" t="n">
        <v>4</v>
      </c>
      <c r="L6" s="23" t="n">
        <v>5</v>
      </c>
      <c r="M6" s="23" t="n">
        <v>4</v>
      </c>
      <c r="N6" s="24" t="n">
        <f aca="false">SUMPRODUCT(F6:M6,$F$2:$M$2)/5</f>
        <v>82</v>
      </c>
      <c r="O6" s="3" t="str">
        <f aca="false">IF(N6&gt;=75,"producir pronto",IF(N6&gt;=60,"banco","reformular o descartar"))</f>
        <v>producir pronto</v>
      </c>
      <c r="P6" s="23" t="s">
        <v>62</v>
      </c>
      <c r="Q6" s="23" t="s">
        <v>95</v>
      </c>
    </row>
    <row r="7" customFormat="false" ht="26.85" hidden="false" customHeight="false" outlineLevel="0" collapsed="false">
      <c r="A7" s="23" t="s">
        <v>149</v>
      </c>
      <c r="B7" s="23" t="s">
        <v>76</v>
      </c>
      <c r="C7" s="23" t="s">
        <v>108</v>
      </c>
      <c r="D7" s="23" t="s">
        <v>109</v>
      </c>
      <c r="E7" s="23" t="s">
        <v>150</v>
      </c>
      <c r="F7" s="23" t="n">
        <v>4</v>
      </c>
      <c r="G7" s="23" t="n">
        <v>5</v>
      </c>
      <c r="H7" s="23" t="n">
        <v>5</v>
      </c>
      <c r="I7" s="23" t="n">
        <v>5</v>
      </c>
      <c r="J7" s="23" t="n">
        <v>3</v>
      </c>
      <c r="K7" s="23" t="n">
        <v>3</v>
      </c>
      <c r="L7" s="23" t="n">
        <v>4</v>
      </c>
      <c r="M7" s="23" t="n">
        <v>2</v>
      </c>
      <c r="N7" s="24" t="n">
        <f aca="false">SUMPRODUCT(F7:M7,$F$2:$M$2)/5</f>
        <v>81</v>
      </c>
      <c r="O7" s="3" t="str">
        <f aca="false">IF(N7&gt;=75,"producir pronto",IF(N7&gt;=60,"banco","reformular o descartar"))</f>
        <v>producir pronto</v>
      </c>
      <c r="P7" s="23" t="s">
        <v>62</v>
      </c>
      <c r="Q7" s="23" t="s">
        <v>107</v>
      </c>
    </row>
    <row r="8" customFormat="false" ht="26.85" hidden="false" customHeight="false" outlineLevel="0" collapsed="false">
      <c r="A8" s="23" t="s">
        <v>151</v>
      </c>
      <c r="B8" s="23" t="s">
        <v>76</v>
      </c>
      <c r="C8" s="23" t="s">
        <v>152</v>
      </c>
      <c r="D8" s="23" t="s">
        <v>78</v>
      </c>
      <c r="E8" s="23" t="s">
        <v>153</v>
      </c>
      <c r="F8" s="23" t="n">
        <v>3</v>
      </c>
      <c r="G8" s="23" t="n">
        <v>5</v>
      </c>
      <c r="H8" s="23" t="n">
        <v>4</v>
      </c>
      <c r="I8" s="23" t="n">
        <v>5</v>
      </c>
      <c r="J8" s="23" t="n">
        <v>3</v>
      </c>
      <c r="K8" s="23" t="n">
        <v>5</v>
      </c>
      <c r="L8" s="23" t="n">
        <v>4</v>
      </c>
      <c r="M8" s="23" t="n">
        <v>3</v>
      </c>
      <c r="N8" s="24" t="n">
        <f aca="false">SUMPRODUCT(F8:M8,$F$2:$M$2)/5</f>
        <v>80</v>
      </c>
      <c r="O8" s="3" t="str">
        <f aca="false">IF(N8&gt;=75,"producir pronto",IF(N8&gt;=60,"banco","reformular o descartar"))</f>
        <v>producir pronto</v>
      </c>
      <c r="P8" s="23" t="s">
        <v>154</v>
      </c>
      <c r="Q8" s="25"/>
    </row>
    <row r="9" customFormat="false" ht="26.85" hidden="false" customHeight="false" outlineLevel="0" collapsed="false">
      <c r="A9" s="23" t="s">
        <v>155</v>
      </c>
      <c r="B9" s="23" t="s">
        <v>76</v>
      </c>
      <c r="C9" s="23" t="s">
        <v>156</v>
      </c>
      <c r="D9" s="23" t="s">
        <v>119</v>
      </c>
      <c r="E9" s="23" t="s">
        <v>157</v>
      </c>
      <c r="F9" s="23" t="n">
        <v>4</v>
      </c>
      <c r="G9" s="23" t="n">
        <v>4</v>
      </c>
      <c r="H9" s="23" t="n">
        <v>3</v>
      </c>
      <c r="I9" s="23" t="n">
        <v>5</v>
      </c>
      <c r="J9" s="23" t="n">
        <v>3</v>
      </c>
      <c r="K9" s="23" t="n">
        <v>5</v>
      </c>
      <c r="L9" s="23" t="n">
        <v>4</v>
      </c>
      <c r="M9" s="23" t="n">
        <v>3</v>
      </c>
      <c r="N9" s="24" t="n">
        <f aca="false">SUMPRODUCT(F9:M9,$F$2:$M$2)/5</f>
        <v>78</v>
      </c>
      <c r="O9" s="3" t="str">
        <f aca="false">IF(N9&gt;=75,"producir pronto",IF(N9&gt;=60,"banco","reformular o descartar"))</f>
        <v>producir pronto</v>
      </c>
      <c r="P9" s="23" t="s">
        <v>62</v>
      </c>
      <c r="Q9" s="23" t="s">
        <v>120</v>
      </c>
    </row>
    <row r="10" customFormat="false" ht="26.85" hidden="false" customHeight="false" outlineLevel="0" collapsed="false">
      <c r="A10" s="23" t="s">
        <v>158</v>
      </c>
      <c r="B10" s="23" t="s">
        <v>64</v>
      </c>
      <c r="C10" s="23" t="s">
        <v>159</v>
      </c>
      <c r="D10" s="23" t="s">
        <v>160</v>
      </c>
      <c r="E10" s="23" t="s">
        <v>161</v>
      </c>
      <c r="F10" s="23" t="n">
        <v>4</v>
      </c>
      <c r="G10" s="23" t="n">
        <v>5</v>
      </c>
      <c r="H10" s="23" t="n">
        <v>4</v>
      </c>
      <c r="I10" s="23" t="n">
        <v>4</v>
      </c>
      <c r="J10" s="23" t="n">
        <v>3</v>
      </c>
      <c r="K10" s="23" t="n">
        <v>2</v>
      </c>
      <c r="L10" s="23" t="n">
        <v>4</v>
      </c>
      <c r="M10" s="23" t="n">
        <v>3</v>
      </c>
      <c r="N10" s="24" t="n">
        <f aca="false">SUMPRODUCT(F10:M10,$F$2:$M$2)/5</f>
        <v>75</v>
      </c>
      <c r="O10" s="3" t="str">
        <f aca="false">IF(N10&gt;=75,"producir pronto",IF(N10&gt;=60,"banco","reformular o descartar"))</f>
        <v>producir pronto</v>
      </c>
      <c r="P10" s="23" t="s">
        <v>154</v>
      </c>
      <c r="Q10" s="25"/>
    </row>
    <row r="11" customFormat="false" ht="15" hidden="false" customHeight="false" outlineLevel="0" collapsed="false">
      <c r="A11" s="23" t="s">
        <v>162</v>
      </c>
      <c r="B11" s="23" t="s">
        <v>76</v>
      </c>
      <c r="C11" s="23" t="s">
        <v>163</v>
      </c>
      <c r="D11" s="23" t="s">
        <v>164</v>
      </c>
      <c r="E11" s="23" t="s">
        <v>165</v>
      </c>
      <c r="F11" s="23" t="n">
        <v>3</v>
      </c>
      <c r="G11" s="23" t="n">
        <v>4</v>
      </c>
      <c r="H11" s="23" t="n">
        <v>4</v>
      </c>
      <c r="I11" s="23" t="n">
        <v>4</v>
      </c>
      <c r="J11" s="23" t="n">
        <v>3</v>
      </c>
      <c r="K11" s="23" t="n">
        <v>5</v>
      </c>
      <c r="L11" s="23" t="n">
        <v>4</v>
      </c>
      <c r="M11" s="23" t="n">
        <v>3</v>
      </c>
      <c r="N11" s="24" t="n">
        <f aca="false">SUMPRODUCT(F11:M11,$F$2:$M$2)/5</f>
        <v>74</v>
      </c>
      <c r="O11" s="3" t="str">
        <f aca="false">IF(N11&gt;=75,"producir pronto",IF(N11&gt;=60,"banco","reformular o descartar"))</f>
        <v>banco</v>
      </c>
      <c r="P11" s="23" t="s">
        <v>154</v>
      </c>
      <c r="Q11" s="25"/>
    </row>
    <row r="12" customFormat="false" ht="26.85" hidden="false" customHeight="false" outlineLevel="0" collapsed="false">
      <c r="A12" s="23" t="s">
        <v>166</v>
      </c>
      <c r="B12" s="23" t="s">
        <v>167</v>
      </c>
      <c r="C12" s="23" t="s">
        <v>168</v>
      </c>
      <c r="D12" s="23" t="s">
        <v>169</v>
      </c>
      <c r="E12" s="23" t="s">
        <v>170</v>
      </c>
      <c r="F12" s="23" t="n">
        <v>4</v>
      </c>
      <c r="G12" s="23" t="n">
        <v>3</v>
      </c>
      <c r="H12" s="23" t="n">
        <v>3</v>
      </c>
      <c r="I12" s="23" t="n">
        <v>5</v>
      </c>
      <c r="J12" s="23" t="n">
        <v>3</v>
      </c>
      <c r="K12" s="23" t="n">
        <v>4</v>
      </c>
      <c r="L12" s="23" t="n">
        <v>4</v>
      </c>
      <c r="M12" s="23" t="n">
        <v>2</v>
      </c>
      <c r="N12" s="24" t="n">
        <f aca="false">SUMPRODUCT(F12:M12,$F$2:$M$2)/5</f>
        <v>71</v>
      </c>
      <c r="O12" s="3" t="str">
        <f aca="false">IF(N12&gt;=75,"producir pronto",IF(N12&gt;=60,"banco","reformular o descartar"))</f>
        <v>banco</v>
      </c>
      <c r="P12" s="23" t="s">
        <v>154</v>
      </c>
      <c r="Q12" s="25"/>
    </row>
    <row r="13" customFormat="false" ht="26.85" hidden="false" customHeight="false" outlineLevel="0" collapsed="false">
      <c r="A13" s="23" t="s">
        <v>171</v>
      </c>
      <c r="B13" s="23" t="s">
        <v>172</v>
      </c>
      <c r="C13" s="23" t="s">
        <v>173</v>
      </c>
      <c r="D13" s="23" t="s">
        <v>174</v>
      </c>
      <c r="E13" s="23" t="s">
        <v>175</v>
      </c>
      <c r="F13" s="23" t="n">
        <v>4</v>
      </c>
      <c r="G13" s="23" t="n">
        <v>4</v>
      </c>
      <c r="H13" s="23" t="n">
        <v>3</v>
      </c>
      <c r="I13" s="23" t="n">
        <v>3</v>
      </c>
      <c r="J13" s="23" t="n">
        <v>3</v>
      </c>
      <c r="K13" s="23" t="n">
        <v>3</v>
      </c>
      <c r="L13" s="23" t="n">
        <v>5</v>
      </c>
      <c r="M13" s="23" t="n">
        <v>2</v>
      </c>
      <c r="N13" s="24" t="n">
        <f aca="false">SUMPRODUCT(F13:M13,$F$2:$M$2)/5</f>
        <v>67</v>
      </c>
      <c r="O13" s="3" t="str">
        <f aca="false">IF(N13&gt;=75,"producir pronto",IF(N13&gt;=60,"banco","reformular o descartar"))</f>
        <v>banco</v>
      </c>
      <c r="P13" s="23" t="s">
        <v>154</v>
      </c>
      <c r="Q13" s="25"/>
    </row>
    <row r="14" customFormat="false" ht="26.85" hidden="false" customHeight="false" outlineLevel="0" collapsed="false">
      <c r="A14" s="23" t="s">
        <v>176</v>
      </c>
      <c r="B14" s="23" t="s">
        <v>167</v>
      </c>
      <c r="C14" s="23" t="s">
        <v>177</v>
      </c>
      <c r="D14" s="23" t="s">
        <v>178</v>
      </c>
      <c r="E14" s="23" t="s">
        <v>179</v>
      </c>
      <c r="F14" s="23" t="n">
        <v>3</v>
      </c>
      <c r="G14" s="23" t="n">
        <v>3</v>
      </c>
      <c r="H14" s="23" t="n">
        <v>3</v>
      </c>
      <c r="I14" s="23" t="n">
        <v>4</v>
      </c>
      <c r="J14" s="23" t="n">
        <v>3</v>
      </c>
      <c r="K14" s="23" t="n">
        <v>4</v>
      </c>
      <c r="L14" s="23" t="n">
        <v>3</v>
      </c>
      <c r="M14" s="23" t="n">
        <v>3</v>
      </c>
      <c r="N14" s="24" t="n">
        <f aca="false">SUMPRODUCT(F14:M14,$F$2:$M$2)/5</f>
        <v>65</v>
      </c>
      <c r="O14" s="3" t="str">
        <f aca="false">IF(N14&gt;=75,"producir pronto",IF(N14&gt;=60,"banco","reformular o descartar"))</f>
        <v>banco</v>
      </c>
      <c r="P14" s="23" t="s">
        <v>154</v>
      </c>
      <c r="Q14" s="25"/>
    </row>
    <row r="15" customFormat="false" ht="26.85" hidden="false" customHeight="false" outlineLevel="0" collapsed="false">
      <c r="A15" s="23" t="s">
        <v>180</v>
      </c>
      <c r="B15" s="23" t="s">
        <v>64</v>
      </c>
      <c r="C15" s="23" t="s">
        <v>181</v>
      </c>
      <c r="D15" s="23" t="s">
        <v>182</v>
      </c>
      <c r="E15" s="23" t="s">
        <v>183</v>
      </c>
      <c r="F15" s="23" t="n">
        <v>3</v>
      </c>
      <c r="G15" s="23" t="n">
        <v>4</v>
      </c>
      <c r="H15" s="23" t="n">
        <v>3</v>
      </c>
      <c r="I15" s="23" t="n">
        <v>2</v>
      </c>
      <c r="J15" s="23" t="n">
        <v>3</v>
      </c>
      <c r="K15" s="23" t="n">
        <v>3</v>
      </c>
      <c r="L15" s="23" t="n">
        <v>4</v>
      </c>
      <c r="M15" s="23" t="n">
        <v>4</v>
      </c>
      <c r="N15" s="24" t="n">
        <f aca="false">SUMPRODUCT(F15:M15,$F$2:$M$2)/5</f>
        <v>63</v>
      </c>
      <c r="O15" s="3" t="str">
        <f aca="false">IF(N15&gt;=75,"producir pronto",IF(N15&gt;=60,"banco","reformular o descartar"))</f>
        <v>banco</v>
      </c>
      <c r="P15" s="23" t="s">
        <v>154</v>
      </c>
      <c r="Q15" s="25"/>
    </row>
    <row r="16" customFormat="false" ht="15" hidden="false" customHeight="false" outlineLevel="0" collapsed="false">
      <c r="A16" s="23" t="s">
        <v>184</v>
      </c>
      <c r="B16" s="23" t="s">
        <v>64</v>
      </c>
      <c r="C16" s="23" t="s">
        <v>185</v>
      </c>
      <c r="D16" s="23" t="s">
        <v>186</v>
      </c>
      <c r="E16" s="23" t="s">
        <v>187</v>
      </c>
      <c r="F16" s="23" t="n">
        <v>3</v>
      </c>
      <c r="G16" s="23" t="n">
        <v>3</v>
      </c>
      <c r="H16" s="23" t="n">
        <v>3</v>
      </c>
      <c r="I16" s="23" t="n">
        <v>2</v>
      </c>
      <c r="J16" s="23" t="n">
        <v>3</v>
      </c>
      <c r="K16" s="23" t="n">
        <v>3</v>
      </c>
      <c r="L16" s="23" t="n">
        <v>5</v>
      </c>
      <c r="M16" s="23" t="n">
        <v>3</v>
      </c>
      <c r="N16" s="24" t="n">
        <f aca="false">SUMPRODUCT(F16:M16,$F$2:$M$2)/5</f>
        <v>59</v>
      </c>
      <c r="O16" s="3" t="str">
        <f aca="false">IF(N16&gt;=75,"producir pronto",IF(N16&gt;=60,"banco","reformular o descartar"))</f>
        <v>reformular o descartar</v>
      </c>
      <c r="P16" s="23" t="s">
        <v>154</v>
      </c>
      <c r="Q16" s="25"/>
    </row>
    <row r="17" customFormat="false" ht="26.85" hidden="false" customHeight="false" outlineLevel="0" collapsed="false">
      <c r="A17" s="23" t="s">
        <v>188</v>
      </c>
      <c r="B17" s="23" t="s">
        <v>64</v>
      </c>
      <c r="C17" s="23" t="s">
        <v>189</v>
      </c>
      <c r="D17" s="23" t="s">
        <v>190</v>
      </c>
      <c r="E17" s="23" t="s">
        <v>191</v>
      </c>
      <c r="F17" s="23" t="n">
        <v>4</v>
      </c>
      <c r="G17" s="23" t="n">
        <v>3</v>
      </c>
      <c r="H17" s="23" t="n">
        <v>2</v>
      </c>
      <c r="I17" s="23" t="n">
        <v>2</v>
      </c>
      <c r="J17" s="23" t="n">
        <v>2</v>
      </c>
      <c r="K17" s="23" t="n">
        <v>3</v>
      </c>
      <c r="L17" s="23" t="n">
        <v>3</v>
      </c>
      <c r="M17" s="23" t="n">
        <v>3</v>
      </c>
      <c r="N17" s="24" t="n">
        <f aca="false">SUMPRODUCT(F17:M17,$F$2:$M$2)/5</f>
        <v>56</v>
      </c>
      <c r="O17" s="3" t="str">
        <f aca="false">IF(N17&gt;=75,"producir pronto",IF(N17&gt;=60,"banco","reformular o descartar"))</f>
        <v>reformular o descartar</v>
      </c>
      <c r="P17" s="23" t="s">
        <v>154</v>
      </c>
      <c r="Q17" s="25"/>
    </row>
    <row r="18" customFormat="false" ht="26.85" hidden="false" customHeight="false" outlineLevel="0" collapsed="false">
      <c r="A18" s="23" t="s">
        <v>192</v>
      </c>
      <c r="B18" s="23" t="s">
        <v>64</v>
      </c>
      <c r="C18" s="23" t="s">
        <v>193</v>
      </c>
      <c r="D18" s="23" t="s">
        <v>194</v>
      </c>
      <c r="E18" s="23" t="s">
        <v>195</v>
      </c>
      <c r="F18" s="23" t="n">
        <v>4</v>
      </c>
      <c r="G18" s="23" t="n">
        <v>3</v>
      </c>
      <c r="H18" s="23" t="n">
        <v>2</v>
      </c>
      <c r="I18" s="23" t="n">
        <v>2</v>
      </c>
      <c r="J18" s="23" t="n">
        <v>2</v>
      </c>
      <c r="K18" s="23" t="n">
        <v>3</v>
      </c>
      <c r="L18" s="23" t="n">
        <v>3</v>
      </c>
      <c r="M18" s="23" t="n">
        <v>3</v>
      </c>
      <c r="N18" s="24" t="n">
        <f aca="false">SUMPRODUCT(F18:M18,$F$2:$M$2)/5</f>
        <v>56</v>
      </c>
      <c r="O18" s="3" t="str">
        <f aca="false">IF(N18&gt;=75,"producir pronto",IF(N18&gt;=60,"banco","reformular o descartar"))</f>
        <v>reformular o descartar</v>
      </c>
      <c r="P18" s="23" t="s">
        <v>154</v>
      </c>
      <c r="Q18" s="25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19" t="str">
        <f aca="false">IF(COUNT(F19:M19)=0,"",SUMPRODUCT(F19:M19,$F$2:$M$2)/5)</f>
        <v/>
      </c>
      <c r="O19" s="14" t="str">
        <f aca="false">IF(N19="","",IF(N19&gt;=75,"producir pronto",IF(N19&gt;=60,"banco","reformular o descartar")))</f>
        <v/>
      </c>
      <c r="P19" s="7"/>
      <c r="Q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19" t="str">
        <f aca="false">IF(COUNT(F20:M20)=0,"",SUMPRODUCT(F20:M20,$F$2:$M$2)/5)</f>
        <v/>
      </c>
      <c r="O20" s="14" t="str">
        <f aca="false">IF(N20="","",IF(N20&gt;=75,"producir pronto",IF(N20&gt;=60,"banco","reformular o descartar")))</f>
        <v/>
      </c>
      <c r="P20" s="7"/>
      <c r="Q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19" t="str">
        <f aca="false">IF(COUNT(F21:M21)=0,"",SUMPRODUCT(F21:M21,$F$2:$M$2)/5)</f>
        <v/>
      </c>
      <c r="O21" s="14" t="str">
        <f aca="false">IF(N21="","",IF(N21&gt;=75,"producir pronto",IF(N21&gt;=60,"banco","reformular o descartar")))</f>
        <v/>
      </c>
      <c r="P21" s="7"/>
      <c r="Q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19" t="str">
        <f aca="false">IF(COUNT(F22:M22)=0,"",SUMPRODUCT(F22:M22,$F$2:$M$2)/5)</f>
        <v/>
      </c>
      <c r="O22" s="14" t="str">
        <f aca="false">IF(N22="","",IF(N22&gt;=75,"producir pronto",IF(N22&gt;=60,"banco","reformular o descartar")))</f>
        <v/>
      </c>
      <c r="P22" s="7"/>
      <c r="Q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19" t="str">
        <f aca="false">IF(COUNT(F23:M23)=0,"",SUMPRODUCT(F23:M23,$F$2:$M$2)/5)</f>
        <v/>
      </c>
      <c r="O23" s="14" t="str">
        <f aca="false">IF(N23="","",IF(N23&gt;=75,"producir pronto",IF(N23&gt;=60,"banco","reformular o descartar")))</f>
        <v/>
      </c>
      <c r="P23" s="7"/>
      <c r="Q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9" t="str">
        <f aca="false">IF(COUNT(F24:M24)=0,"",SUMPRODUCT(F24:M24,$F$2:$M$2)/5)</f>
        <v/>
      </c>
      <c r="O24" s="14" t="str">
        <f aca="false">IF(N24="","",IF(N24&gt;=75,"producir pronto",IF(N24&gt;=60,"banco","reformular o descartar")))</f>
        <v/>
      </c>
      <c r="P24" s="7"/>
      <c r="Q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9" t="str">
        <f aca="false">IF(COUNT(F25:M25)=0,"",SUMPRODUCT(F25:M25,$F$2:$M$2)/5)</f>
        <v/>
      </c>
      <c r="O25" s="14" t="str">
        <f aca="false">IF(N25="","",IF(N25&gt;=75,"producir pronto",IF(N25&gt;=60,"banco","reformular o descartar")))</f>
        <v/>
      </c>
      <c r="P25" s="7"/>
      <c r="Q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19" t="str">
        <f aca="false">IF(COUNT(F26:M26)=0,"",SUMPRODUCT(F26:M26,$F$2:$M$2)/5)</f>
        <v/>
      </c>
      <c r="O26" s="14" t="str">
        <f aca="false">IF(N26="","",IF(N26&gt;=75,"producir pronto",IF(N26&gt;=60,"banco","reformular o descartar")))</f>
        <v/>
      </c>
      <c r="P26" s="7"/>
      <c r="Q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9" t="str">
        <f aca="false">IF(COUNT(F27:M27)=0,"",SUMPRODUCT(F27:M27,$F$2:$M$2)/5)</f>
        <v/>
      </c>
      <c r="O27" s="14" t="str">
        <f aca="false">IF(N27="","",IF(N27&gt;=75,"producir pronto",IF(N27&gt;=60,"banco","reformular o descartar")))</f>
        <v/>
      </c>
      <c r="P27" s="7"/>
      <c r="Q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9" t="str">
        <f aca="false">IF(COUNT(F28:M28)=0,"",SUMPRODUCT(F28:M28,$F$2:$M$2)/5)</f>
        <v/>
      </c>
      <c r="O28" s="14" t="str">
        <f aca="false">IF(N28="","",IF(N28&gt;=75,"producir pronto",IF(N28&gt;=60,"banco","reformular o descartar")))</f>
        <v/>
      </c>
      <c r="P28" s="7"/>
      <c r="Q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19" t="str">
        <f aca="false">IF(COUNT(F29:M29)=0,"",SUMPRODUCT(F29:M29,$F$2:$M$2)/5)</f>
        <v/>
      </c>
      <c r="O29" s="14" t="str">
        <f aca="false">IF(N29="","",IF(N29&gt;=75,"producir pronto",IF(N29&gt;=60,"banco","reformular o descartar")))</f>
        <v/>
      </c>
      <c r="P29" s="7"/>
      <c r="Q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19" t="str">
        <f aca="false">IF(COUNT(F30:M30)=0,"",SUMPRODUCT(F30:M30,$F$2:$M$2)/5)</f>
        <v/>
      </c>
      <c r="O30" s="14" t="str">
        <f aca="false">IF(N30="","",IF(N30&gt;=75,"producir pronto",IF(N30&gt;=60,"banco","reformular o descartar")))</f>
        <v/>
      </c>
      <c r="P30" s="7"/>
      <c r="Q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19" t="str">
        <f aca="false">IF(COUNT(F31:M31)=0,"",SUMPRODUCT(F31:M31,$F$2:$M$2)/5)</f>
        <v/>
      </c>
      <c r="O31" s="14" t="str">
        <f aca="false">IF(N31="","",IF(N31&gt;=75,"producir pronto",IF(N31&gt;=60,"banco","reformular o descartar")))</f>
        <v/>
      </c>
      <c r="P31" s="7"/>
      <c r="Q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19" t="str">
        <f aca="false">IF(COUNT(F32:M32)=0,"",SUMPRODUCT(F32:M32,$F$2:$M$2)/5)</f>
        <v/>
      </c>
      <c r="O32" s="14" t="str">
        <f aca="false">IF(N32="","",IF(N32&gt;=75,"producir pronto",IF(N32&gt;=60,"banco","reformular o descartar")))</f>
        <v/>
      </c>
      <c r="P32" s="7"/>
      <c r="Q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19" t="str">
        <f aca="false">IF(COUNT(F33:M33)=0,"",SUMPRODUCT(F33:M33,$F$2:$M$2)/5)</f>
        <v/>
      </c>
      <c r="O33" s="14" t="str">
        <f aca="false">IF(N33="","",IF(N33&gt;=75,"producir pronto",IF(N33&gt;=60,"banco","reformular o descartar")))</f>
        <v/>
      </c>
      <c r="P33" s="7"/>
      <c r="Q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19" t="str">
        <f aca="false">IF(COUNT(F34:M34)=0,"",SUMPRODUCT(F34:M34,$F$2:$M$2)/5)</f>
        <v/>
      </c>
      <c r="O34" s="14" t="str">
        <f aca="false">IF(N34="","",IF(N34&gt;=75,"producir pronto",IF(N34&gt;=60,"banco","reformular o descartar")))</f>
        <v/>
      </c>
      <c r="P34" s="7"/>
      <c r="Q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19" t="str">
        <f aca="false">IF(COUNT(F35:M35)=0,"",SUMPRODUCT(F35:M35,$F$2:$M$2)/5)</f>
        <v/>
      </c>
      <c r="O35" s="14" t="str">
        <f aca="false">IF(N35="","",IF(N35&gt;=75,"producir pronto",IF(N35&gt;=60,"banco","reformular o descartar")))</f>
        <v/>
      </c>
      <c r="P35" s="7"/>
      <c r="Q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19" t="str">
        <f aca="false">IF(COUNT(F36:M36)=0,"",SUMPRODUCT(F36:M36,$F$2:$M$2)/5)</f>
        <v/>
      </c>
      <c r="O36" s="14" t="str">
        <f aca="false">IF(N36="","",IF(N36&gt;=75,"producir pronto",IF(N36&gt;=60,"banco","reformular o descartar")))</f>
        <v/>
      </c>
      <c r="P36" s="7"/>
      <c r="Q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19" t="str">
        <f aca="false">IF(COUNT(F37:M37)=0,"",SUMPRODUCT(F37:M37,$F$2:$M$2)/5)</f>
        <v/>
      </c>
      <c r="O37" s="14" t="str">
        <f aca="false">IF(N37="","",IF(N37&gt;=75,"producir pronto",IF(N37&gt;=60,"banco","reformular o descartar")))</f>
        <v/>
      </c>
      <c r="P37" s="7"/>
      <c r="Q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19" t="str">
        <f aca="false">IF(COUNT(F38:M38)=0,"",SUMPRODUCT(F38:M38,$F$2:$M$2)/5)</f>
        <v/>
      </c>
      <c r="O38" s="14" t="str">
        <f aca="false">IF(N38="","",IF(N38&gt;=75,"producir pronto",IF(N38&gt;=60,"banco","reformular o descartar")))</f>
        <v/>
      </c>
      <c r="P38" s="7"/>
      <c r="Q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19" t="str">
        <f aca="false">IF(COUNT(F39:M39)=0,"",SUMPRODUCT(F39:M39,$F$2:$M$2)/5)</f>
        <v/>
      </c>
      <c r="O39" s="14" t="str">
        <f aca="false">IF(N39="","",IF(N39&gt;=75,"producir pronto",IF(N39&gt;=60,"banco","reformular o descartar")))</f>
        <v/>
      </c>
      <c r="P39" s="7"/>
      <c r="Q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19" t="str">
        <f aca="false">IF(COUNT(F40:M40)=0,"",SUMPRODUCT(F40:M40,$F$2:$M$2)/5)</f>
        <v/>
      </c>
      <c r="O40" s="14" t="str">
        <f aca="false">IF(N40="","",IF(N40&gt;=75,"producir pronto",IF(N40&gt;=60,"banco","reformular o descartar")))</f>
        <v/>
      </c>
      <c r="P40" s="7"/>
      <c r="Q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19" t="str">
        <f aca="false">IF(COUNT(F41:M41)=0,"",SUMPRODUCT(F41:M41,$F$2:$M$2)/5)</f>
        <v/>
      </c>
      <c r="O41" s="14" t="str">
        <f aca="false">IF(N41="","",IF(N41&gt;=75,"producir pronto",IF(N41&gt;=60,"banco","reformular o descartar")))</f>
        <v/>
      </c>
      <c r="P41" s="7"/>
      <c r="Q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19" t="str">
        <f aca="false">IF(COUNT(F42:M42)=0,"",SUMPRODUCT(F42:M42,$F$2:$M$2)/5)</f>
        <v/>
      </c>
      <c r="O42" s="14" t="str">
        <f aca="false">IF(N42="","",IF(N42&gt;=75,"producir pronto",IF(N42&gt;=60,"banco","reformular o descartar")))</f>
        <v/>
      </c>
      <c r="P42" s="7"/>
      <c r="Q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19" t="str">
        <f aca="false">IF(COUNT(F43:M43)=0,"",SUMPRODUCT(F43:M43,$F$2:$M$2)/5)</f>
        <v/>
      </c>
      <c r="O43" s="14" t="str">
        <f aca="false">IF(N43="","",IF(N43&gt;=75,"producir pronto",IF(N43&gt;=60,"banco","reformular o descartar")))</f>
        <v/>
      </c>
      <c r="P43" s="7"/>
      <c r="Q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19" t="str">
        <f aca="false">IF(COUNT(F44:M44)=0,"",SUMPRODUCT(F44:M44,$F$2:$M$2)/5)</f>
        <v/>
      </c>
      <c r="O44" s="14" t="str">
        <f aca="false">IF(N44="","",IF(N44&gt;=75,"producir pronto",IF(N44&gt;=60,"banco","reformular o descartar")))</f>
        <v/>
      </c>
      <c r="P44" s="7"/>
      <c r="Q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19" t="str">
        <f aca="false">IF(COUNT(F45:M45)=0,"",SUMPRODUCT(F45:M45,$F$2:$M$2)/5)</f>
        <v/>
      </c>
      <c r="O45" s="14" t="str">
        <f aca="false">IF(N45="","",IF(N45&gt;=75,"producir pronto",IF(N45&gt;=60,"banco","reformular o descartar")))</f>
        <v/>
      </c>
      <c r="P45" s="7"/>
      <c r="Q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19" t="str">
        <f aca="false">IF(COUNT(F46:M46)=0,"",SUMPRODUCT(F46:M46,$F$2:$M$2)/5)</f>
        <v/>
      </c>
      <c r="O46" s="14" t="str">
        <f aca="false">IF(N46="","",IF(N46&gt;=75,"producir pronto",IF(N46&gt;=60,"banco","reformular o descartar")))</f>
        <v/>
      </c>
      <c r="P46" s="7"/>
      <c r="Q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19" t="str">
        <f aca="false">IF(COUNT(F47:M47)=0,"",SUMPRODUCT(F47:M47,$F$2:$M$2)/5)</f>
        <v/>
      </c>
      <c r="O47" s="14" t="str">
        <f aca="false">IF(N47="","",IF(N47&gt;=75,"producir pronto",IF(N47&gt;=60,"banco","reformular o descartar")))</f>
        <v/>
      </c>
      <c r="P47" s="7"/>
      <c r="Q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19" t="str">
        <f aca="false">IF(COUNT(F48:M48)=0,"",SUMPRODUCT(F48:M48,$F$2:$M$2)/5)</f>
        <v/>
      </c>
      <c r="O48" s="14" t="str">
        <f aca="false">IF(N48="","",IF(N48&gt;=75,"producir pronto",IF(N48&gt;=60,"banco","reformular o descartar")))</f>
        <v/>
      </c>
      <c r="P48" s="7"/>
      <c r="Q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19" t="str">
        <f aca="false">IF(COUNT(F49:M49)=0,"",SUMPRODUCT(F49:M49,$F$2:$M$2)/5)</f>
        <v/>
      </c>
      <c r="O49" s="14" t="str">
        <f aca="false">IF(N49="","",IF(N49&gt;=75,"producir pronto",IF(N49&gt;=60,"banco","reformular o descartar")))</f>
        <v/>
      </c>
      <c r="P49" s="7"/>
      <c r="Q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19" t="str">
        <f aca="false">IF(COUNT(F50:M50)=0,"",SUMPRODUCT(F50:M50,$F$2:$M$2)/5)</f>
        <v/>
      </c>
      <c r="O50" s="14" t="str">
        <f aca="false">IF(N50="","",IF(N50&gt;=75,"producir pronto",IF(N50&gt;=60,"banco","reformular o descartar")))</f>
        <v/>
      </c>
      <c r="P50" s="7"/>
      <c r="Q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19" t="str">
        <f aca="false">IF(COUNT(F51:M51)=0,"",SUMPRODUCT(F51:M51,$F$2:$M$2)/5)</f>
        <v/>
      </c>
      <c r="O51" s="14" t="str">
        <f aca="false">IF(N51="","",IF(N51&gt;=75,"producir pronto",IF(N51&gt;=60,"banco","reformular o descartar")))</f>
        <v/>
      </c>
      <c r="P51" s="7"/>
      <c r="Q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19" t="str">
        <f aca="false">IF(COUNT(F52:M52)=0,"",SUMPRODUCT(F52:M52,$F$2:$M$2)/5)</f>
        <v/>
      </c>
      <c r="O52" s="14" t="str">
        <f aca="false">IF(N52="","",IF(N52&gt;=75,"producir pronto",IF(N52&gt;=60,"banco","reformular o descartar")))</f>
        <v/>
      </c>
      <c r="P52" s="7"/>
      <c r="Q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19" t="str">
        <f aca="false">IF(COUNT(F53:M53)=0,"",SUMPRODUCT(F53:M53,$F$2:$M$2)/5)</f>
        <v/>
      </c>
      <c r="O53" s="14" t="str">
        <f aca="false">IF(N53="","",IF(N53&gt;=75,"producir pronto",IF(N53&gt;=60,"banco","reformular o descartar")))</f>
        <v/>
      </c>
      <c r="P53" s="7"/>
      <c r="Q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19" t="str">
        <f aca="false">IF(COUNT(F54:M54)=0,"",SUMPRODUCT(F54:M54,$F$2:$M$2)/5)</f>
        <v/>
      </c>
      <c r="O54" s="14" t="str">
        <f aca="false">IF(N54="","",IF(N54&gt;=75,"producir pronto",IF(N54&gt;=60,"banco","reformular o descartar")))</f>
        <v/>
      </c>
      <c r="P54" s="7"/>
      <c r="Q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19" t="str">
        <f aca="false">IF(COUNT(F55:M55)=0,"",SUMPRODUCT(F55:M55,$F$2:$M$2)/5)</f>
        <v/>
      </c>
      <c r="O55" s="14" t="str">
        <f aca="false">IF(N55="","",IF(N55&gt;=75,"producir pronto",IF(N55&gt;=60,"banco","reformular o descartar")))</f>
        <v/>
      </c>
      <c r="P55" s="7"/>
      <c r="Q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19" t="str">
        <f aca="false">IF(COUNT(F56:M56)=0,"",SUMPRODUCT(F56:M56,$F$2:$M$2)/5)</f>
        <v/>
      </c>
      <c r="O56" s="14" t="str">
        <f aca="false">IF(N56="","",IF(N56&gt;=75,"producir pronto",IF(N56&gt;=60,"banco","reformular o descartar")))</f>
        <v/>
      </c>
      <c r="P56" s="7"/>
      <c r="Q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19" t="str">
        <f aca="false">IF(COUNT(F57:M57)=0,"",SUMPRODUCT(F57:M57,$F$2:$M$2)/5)</f>
        <v/>
      </c>
      <c r="O57" s="14" t="str">
        <f aca="false">IF(N57="","",IF(N57&gt;=75,"producir pronto",IF(N57&gt;=60,"banco","reformular o descartar")))</f>
        <v/>
      </c>
      <c r="P57" s="7"/>
      <c r="Q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19" t="str">
        <f aca="false">IF(COUNT(F58:M58)=0,"",SUMPRODUCT(F58:M58,$F$2:$M$2)/5)</f>
        <v/>
      </c>
      <c r="O58" s="14" t="str">
        <f aca="false">IF(N58="","",IF(N58&gt;=75,"producir pronto",IF(N58&gt;=60,"banco","reformular o descartar")))</f>
        <v/>
      </c>
      <c r="P58" s="7"/>
      <c r="Q58" s="7"/>
    </row>
  </sheetData>
  <dataValidations count="1">
    <dataValidation allowBlank="true" errorStyle="stop" operator="between" showDropDown="false" showErrorMessage="false" showInputMessage="false" sqref="F3:M58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50"/>
    <col collapsed="false" customWidth="true" hidden="false" outlineLevel="0" max="9" min="7" style="0" width="22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2" min="12" style="0" width="22"/>
    <col collapsed="false" customWidth="true" hidden="false" outlineLevel="0" max="13" min="13" style="0" width="40"/>
    <col collapsed="false" customWidth="true" hidden="false" outlineLevel="0" max="14" min="14" style="0" width="11"/>
    <col collapsed="false" customWidth="true" hidden="false" outlineLevel="0" max="15" min="15" style="0" width="14"/>
  </cols>
  <sheetData>
    <row r="1" customFormat="false" ht="30" hidden="false" customHeight="true" outlineLevel="0" collapsed="false">
      <c r="A1" s="5" t="s">
        <v>21</v>
      </c>
      <c r="B1" s="5" t="s">
        <v>196</v>
      </c>
      <c r="C1" s="5" t="s">
        <v>138</v>
      </c>
      <c r="D1" s="5" t="s">
        <v>197</v>
      </c>
      <c r="E1" s="5" t="s">
        <v>198</v>
      </c>
      <c r="F1" s="5" t="s">
        <v>199</v>
      </c>
      <c r="G1" s="5" t="s">
        <v>200</v>
      </c>
      <c r="H1" s="5" t="s">
        <v>201</v>
      </c>
      <c r="I1" s="5" t="s">
        <v>202</v>
      </c>
      <c r="J1" s="5" t="s">
        <v>203</v>
      </c>
      <c r="K1" s="5" t="s">
        <v>204</v>
      </c>
      <c r="L1" s="5" t="s">
        <v>205</v>
      </c>
      <c r="M1" s="5" t="s">
        <v>206</v>
      </c>
      <c r="N1" s="6" t="s">
        <v>207</v>
      </c>
      <c r="O1" s="6" t="s">
        <v>208</v>
      </c>
    </row>
    <row r="2" customFormat="false" ht="39.55" hidden="false" customHeight="false" outlineLevel="0" collapsed="false">
      <c r="A2" s="23" t="s">
        <v>209</v>
      </c>
      <c r="B2" s="26" t="n">
        <v>46345</v>
      </c>
      <c r="C2" s="23" t="s">
        <v>61</v>
      </c>
      <c r="D2" s="23" t="s">
        <v>210</v>
      </c>
      <c r="E2" s="23" t="s">
        <v>211</v>
      </c>
      <c r="F2" s="23" t="s">
        <v>212</v>
      </c>
      <c r="G2" s="23" t="s">
        <v>213</v>
      </c>
      <c r="H2" s="23" t="s">
        <v>214</v>
      </c>
      <c r="I2" s="23" t="s">
        <v>215</v>
      </c>
      <c r="J2" s="23" t="s">
        <v>216</v>
      </c>
      <c r="K2" s="7"/>
      <c r="L2" s="7"/>
      <c r="M2" s="7"/>
      <c r="N2" s="14" t="n">
        <f aca="false">IF(E2="","",COUNTIFS($E$2:$E$201,E2,$K$2:$K$201,"Winner"))</f>
        <v>0</v>
      </c>
      <c r="O2" s="14" t="str">
        <f aca="false">IF(E2="","",IF(N2&gt;=3,"Norma del canal",IF(N2&gt;=1,"Hipótesis con 1-2 victorias","Hipótesis")))</f>
        <v>Hipótesis</v>
      </c>
    </row>
    <row r="3" customFormat="false" ht="39.55" hidden="false" customHeight="false" outlineLevel="0" collapsed="false">
      <c r="A3" s="23" t="s">
        <v>217</v>
      </c>
      <c r="B3" s="26" t="n">
        <v>46359</v>
      </c>
      <c r="C3" s="23" t="s">
        <v>75</v>
      </c>
      <c r="D3" s="23" t="s">
        <v>218</v>
      </c>
      <c r="E3" s="23" t="s">
        <v>219</v>
      </c>
      <c r="F3" s="23" t="s">
        <v>220</v>
      </c>
      <c r="G3" s="23" t="s">
        <v>221</v>
      </c>
      <c r="H3" s="23" t="s">
        <v>222</v>
      </c>
      <c r="I3" s="23"/>
      <c r="J3" s="23" t="s">
        <v>223</v>
      </c>
      <c r="K3" s="7"/>
      <c r="L3" s="7"/>
      <c r="M3" s="7"/>
      <c r="N3" s="14" t="n">
        <f aca="false">IF(E3="","",COUNTIFS($E$2:$E$201,E3,$K$2:$K$201,"Winner"))</f>
        <v>0</v>
      </c>
      <c r="O3" s="14" t="str">
        <f aca="false">IF(E3="","",IF(N3&gt;=3,"Norma del canal",IF(N3&gt;=1,"Hipótesis con 1-2 victorias","Hipótesis")))</f>
        <v>Hipótesis</v>
      </c>
    </row>
    <row r="4" customFormat="false" ht="39.55" hidden="false" customHeight="false" outlineLevel="0" collapsed="false">
      <c r="A4" s="23" t="s">
        <v>224</v>
      </c>
      <c r="B4" s="26" t="n">
        <v>46373</v>
      </c>
      <c r="C4" s="23" t="s">
        <v>84</v>
      </c>
      <c r="D4" s="23" t="s">
        <v>225</v>
      </c>
      <c r="E4" s="23" t="s">
        <v>226</v>
      </c>
      <c r="F4" s="23" t="s">
        <v>227</v>
      </c>
      <c r="G4" s="23" t="s">
        <v>87</v>
      </c>
      <c r="H4" s="23" t="s">
        <v>228</v>
      </c>
      <c r="I4" s="23"/>
      <c r="J4" s="23" t="s">
        <v>229</v>
      </c>
      <c r="K4" s="7"/>
      <c r="L4" s="7"/>
      <c r="M4" s="7"/>
      <c r="N4" s="14" t="n">
        <f aca="false">IF(E4="","",COUNTIFS($E$2:$E$201,E4,$K$2:$K$201,"Winner"))</f>
        <v>0</v>
      </c>
      <c r="O4" s="14" t="str">
        <f aca="false">IF(E4="","",IF(N4&gt;=3,"Norma del canal",IF(N4&gt;=1,"Hipótesis con 1-2 victorias","Hipótesis")))</f>
        <v>Hipótesis</v>
      </c>
    </row>
    <row r="5" customFormat="false" ht="26.85" hidden="false" customHeight="false" outlineLevel="0" collapsed="false">
      <c r="A5" s="23" t="s">
        <v>230</v>
      </c>
      <c r="B5" s="26" t="n">
        <v>46386</v>
      </c>
      <c r="C5" s="23" t="s">
        <v>95</v>
      </c>
      <c r="D5" s="23" t="s">
        <v>231</v>
      </c>
      <c r="E5" s="23" t="s">
        <v>232</v>
      </c>
      <c r="F5" s="23" t="s">
        <v>233</v>
      </c>
      <c r="G5" s="23" t="s">
        <v>95</v>
      </c>
      <c r="H5" s="23" t="s">
        <v>61</v>
      </c>
      <c r="I5" s="23"/>
      <c r="J5" s="23" t="s">
        <v>234</v>
      </c>
      <c r="K5" s="7"/>
      <c r="L5" s="7"/>
      <c r="M5" s="7"/>
      <c r="N5" s="14" t="n">
        <f aca="false">IF(E5="","",COUNTIFS($E$2:$E$201,E5,$K$2:$K$201,"Winner"))</f>
        <v>0</v>
      </c>
      <c r="O5" s="14" t="str">
        <f aca="false">IF(E5="","",IF(N5&gt;=3,"Norma del canal",IF(N5&gt;=1,"Hipótesis con 1-2 victorias","Hipótesis")))</f>
        <v>Hipótesis</v>
      </c>
    </row>
    <row r="6" customFormat="false" ht="39.55" hidden="false" customHeight="false" outlineLevel="0" collapsed="false">
      <c r="A6" s="23" t="s">
        <v>235</v>
      </c>
      <c r="B6" s="26" t="n">
        <v>46401</v>
      </c>
      <c r="C6" s="23" t="s">
        <v>107</v>
      </c>
      <c r="D6" s="23" t="s">
        <v>231</v>
      </c>
      <c r="E6" s="23" t="s">
        <v>236</v>
      </c>
      <c r="F6" s="23" t="s">
        <v>237</v>
      </c>
      <c r="G6" s="23" t="s">
        <v>107</v>
      </c>
      <c r="H6" s="23" t="s">
        <v>238</v>
      </c>
      <c r="I6" s="23"/>
      <c r="J6" s="23" t="s">
        <v>239</v>
      </c>
      <c r="K6" s="7"/>
      <c r="L6" s="7"/>
      <c r="M6" s="7"/>
      <c r="N6" s="14" t="n">
        <f aca="false">IF(E6="","",COUNTIFS($E$2:$E$201,E6,$K$2:$K$201,"Winner"))</f>
        <v>0</v>
      </c>
      <c r="O6" s="14" t="str">
        <f aca="false">IF(E6="","",IF(N6&gt;=3,"Norma del canal",IF(N6&gt;=1,"Hipótesis con 1-2 victorias","Hipótesis")))</f>
        <v>Hipótesis</v>
      </c>
    </row>
    <row r="7" customFormat="false" ht="15" hidden="false" customHeight="false" outlineLevel="0" collapsed="false">
      <c r="A7" s="7"/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14" t="str">
        <f aca="false">IF(E7="","",COUNTIFS($E$2:$E$201,E7,$K$2:$K$201,"Winner"))</f>
        <v/>
      </c>
      <c r="O7" s="14" t="str">
        <f aca="false">IF(E7="","",IF(N7&gt;=3,"Norma del canal",IF(N7&gt;=1,"Hipótesis con 1-2 victorias","Hipótesis")))</f>
        <v/>
      </c>
    </row>
    <row r="8" customFormat="false" ht="15" hidden="false" customHeight="false" outlineLevel="0" collapsed="false">
      <c r="A8" s="7"/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14" t="str">
        <f aca="false">IF(E8="","",COUNTIFS($E$2:$E$201,E8,$K$2:$K$201,"Winner"))</f>
        <v/>
      </c>
      <c r="O8" s="14" t="str">
        <f aca="false">IF(E8="","",IF(N8&gt;=3,"Norma del canal",IF(N8&gt;=1,"Hipótesis con 1-2 victorias","Hipótesis")))</f>
        <v/>
      </c>
    </row>
    <row r="9" customFormat="false" ht="15" hidden="false" customHeight="false" outlineLevel="0" collapsed="false">
      <c r="A9" s="7"/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4" t="str">
        <f aca="false">IF(E9="","",COUNTIFS($E$2:$E$201,E9,$K$2:$K$201,"Winner"))</f>
        <v/>
      </c>
      <c r="O9" s="14" t="str">
        <f aca="false">IF(E9="","",IF(N9&gt;=3,"Norma del canal",IF(N9&gt;=1,"Hipótesis con 1-2 victorias","Hipótesis")))</f>
        <v/>
      </c>
    </row>
    <row r="10" customFormat="false" ht="15" hidden="false" customHeight="false" outlineLevel="0" collapsed="false">
      <c r="A10" s="7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14" t="str">
        <f aca="false">IF(E10="","",COUNTIFS($E$2:$E$201,E10,$K$2:$K$201,"Winner"))</f>
        <v/>
      </c>
      <c r="O10" s="14" t="str">
        <f aca="false">IF(E10="","",IF(N10&gt;=3,"Norma del canal",IF(N10&gt;=1,"Hipótesis con 1-2 victorias","Hipótesis")))</f>
        <v/>
      </c>
    </row>
    <row r="11" customFormat="false" ht="15" hidden="false" customHeight="false" outlineLevel="0" collapsed="false">
      <c r="A11" s="7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14" t="str">
        <f aca="false">IF(E11="","",COUNTIFS($E$2:$E$201,E11,$K$2:$K$201,"Winner"))</f>
        <v/>
      </c>
      <c r="O11" s="14" t="str">
        <f aca="false">IF(E11="","",IF(N11&gt;=3,"Norma del canal",IF(N11&gt;=1,"Hipótesis con 1-2 victorias","Hipótesis")))</f>
        <v/>
      </c>
    </row>
    <row r="12" customFormat="false" ht="15" hidden="false" customHeight="false" outlineLevel="0" collapsed="false">
      <c r="A12" s="7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14" t="str">
        <f aca="false">IF(E12="","",COUNTIFS($E$2:$E$201,E12,$K$2:$K$201,"Winner"))</f>
        <v/>
      </c>
      <c r="O12" s="14" t="str">
        <f aca="false">IF(E12="","",IF(N12&gt;=3,"Norma del canal",IF(N12&gt;=1,"Hipótesis con 1-2 victorias","Hipótesis")))</f>
        <v/>
      </c>
    </row>
    <row r="13" customFormat="false" ht="15" hidden="false" customHeight="false" outlineLevel="0" collapsed="false">
      <c r="A13" s="7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14" t="str">
        <f aca="false">IF(E13="","",COUNTIFS($E$2:$E$201,E13,$K$2:$K$201,"Winner"))</f>
        <v/>
      </c>
      <c r="O13" s="14" t="str">
        <f aca="false">IF(E13="","",IF(N13&gt;=3,"Norma del canal",IF(N13&gt;=1,"Hipótesis con 1-2 victorias","Hipótesis")))</f>
        <v/>
      </c>
    </row>
    <row r="14" customFormat="false" ht="15" hidden="false" customHeight="false" outlineLevel="0" collapsed="false">
      <c r="A14" s="7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14" t="str">
        <f aca="false">IF(E14="","",COUNTIFS($E$2:$E$201,E14,$K$2:$K$201,"Winner"))</f>
        <v/>
      </c>
      <c r="O14" s="14" t="str">
        <f aca="false">IF(E14="","",IF(N14&gt;=3,"Norma del canal",IF(N14&gt;=1,"Hipótesis con 1-2 victorias","Hipótesis")))</f>
        <v/>
      </c>
    </row>
    <row r="15" customFormat="false" ht="15" hidden="false" customHeight="false" outlineLevel="0" collapsed="false">
      <c r="A15" s="7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14" t="str">
        <f aca="false">IF(E15="","",COUNTIFS($E$2:$E$201,E15,$K$2:$K$201,"Winner"))</f>
        <v/>
      </c>
      <c r="O15" s="14" t="str">
        <f aca="false">IF(E15="","",IF(N15&gt;=3,"Norma del canal",IF(N15&gt;=1,"Hipótesis con 1-2 victorias","Hipótesis")))</f>
        <v/>
      </c>
    </row>
    <row r="16" customFormat="false" ht="15" hidden="false" customHeight="false" outlineLevel="0" collapsed="false">
      <c r="A16" s="7"/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14" t="str">
        <f aca="false">IF(E16="","",COUNTIFS($E$2:$E$201,E16,$K$2:$K$201,"Winner"))</f>
        <v/>
      </c>
      <c r="O16" s="14" t="str">
        <f aca="false">IF(E16="","",IF(N16&gt;=3,"Norma del canal",IF(N16&gt;=1,"Hipótesis con 1-2 victorias","Hipótesis")))</f>
        <v/>
      </c>
    </row>
    <row r="17" customFormat="false" ht="15" hidden="false" customHeight="false" outlineLevel="0" collapsed="false">
      <c r="A17" s="7"/>
      <c r="B17" s="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4" t="str">
        <f aca="false">IF(E17="","",COUNTIFS($E$2:$E$201,E17,$K$2:$K$201,"Winner"))</f>
        <v/>
      </c>
      <c r="O17" s="14" t="str">
        <f aca="false">IF(E17="","",IF(N17&gt;=3,"Norma del canal",IF(N17&gt;=1,"Hipótesis con 1-2 victorias","Hipótesis")))</f>
        <v/>
      </c>
    </row>
    <row r="18" customFormat="false" ht="15" hidden="false" customHeight="false" outlineLevel="0" collapsed="false">
      <c r="A18" s="7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14" t="str">
        <f aca="false">IF(E18="","",COUNTIFS($E$2:$E$201,E18,$K$2:$K$201,"Winner"))</f>
        <v/>
      </c>
      <c r="O18" s="14" t="str">
        <f aca="false">IF(E18="","",IF(N18&gt;=3,"Norma del canal",IF(N18&gt;=1,"Hipótesis con 1-2 victorias","Hipótesis")))</f>
        <v/>
      </c>
    </row>
    <row r="19" customFormat="false" ht="15" hidden="false" customHeight="false" outlineLevel="0" collapsed="false">
      <c r="A19" s="7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14" t="str">
        <f aca="false">IF(E19="","",COUNTIFS($E$2:$E$201,E19,$K$2:$K$201,"Winner"))</f>
        <v/>
      </c>
      <c r="O19" s="14" t="str">
        <f aca="false">IF(E19="","",IF(N19&gt;=3,"Norma del canal",IF(N19&gt;=1,"Hipótesis con 1-2 victorias","Hipótesis")))</f>
        <v/>
      </c>
    </row>
    <row r="20" customFormat="false" ht="15" hidden="false" customHeight="false" outlineLevel="0" collapsed="false">
      <c r="A20" s="7"/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14" t="str">
        <f aca="false">IF(E20="","",COUNTIFS($E$2:$E$201,E20,$K$2:$K$201,"Winner"))</f>
        <v/>
      </c>
      <c r="O20" s="14" t="str">
        <f aca="false">IF(E20="","",IF(N20&gt;=3,"Norma del canal",IF(N20&gt;=1,"Hipótesis con 1-2 victorias","Hipótesis")))</f>
        <v/>
      </c>
    </row>
    <row r="21" customFormat="false" ht="15" hidden="false" customHeight="false" outlineLevel="0" collapsed="false">
      <c r="A21" s="7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14" t="str">
        <f aca="false">IF(E21="","",COUNTIFS($E$2:$E$201,E21,$K$2:$K$201,"Winner"))</f>
        <v/>
      </c>
      <c r="O21" s="14" t="str">
        <f aca="false">IF(E21="","",IF(N21&gt;=3,"Norma del canal",IF(N21&gt;=1,"Hipótesis con 1-2 victorias","Hipótesis")))</f>
        <v/>
      </c>
    </row>
    <row r="22" customFormat="false" ht="15" hidden="false" customHeight="false" outlineLevel="0" collapsed="false">
      <c r="A22" s="7"/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14" t="str">
        <f aca="false">IF(E22="","",COUNTIFS($E$2:$E$201,E22,$K$2:$K$201,"Winner"))</f>
        <v/>
      </c>
      <c r="O22" s="14" t="str">
        <f aca="false">IF(E22="","",IF(N22&gt;=3,"Norma del canal",IF(N22&gt;=1,"Hipótesis con 1-2 victorias","Hipótesis")))</f>
        <v/>
      </c>
    </row>
    <row r="23" customFormat="false" ht="15" hidden="false" customHeight="false" outlineLevel="0" collapsed="false">
      <c r="A23" s="7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14" t="str">
        <f aca="false">IF(E23="","",COUNTIFS($E$2:$E$201,E23,$K$2:$K$201,"Winner"))</f>
        <v/>
      </c>
      <c r="O23" s="14" t="str">
        <f aca="false">IF(E23="","",IF(N23&gt;=3,"Norma del canal",IF(N23&gt;=1,"Hipótesis con 1-2 victorias","Hipótesis")))</f>
        <v/>
      </c>
    </row>
    <row r="24" customFormat="false" ht="15" hidden="false" customHeight="false" outlineLevel="0" collapsed="false">
      <c r="A24" s="7"/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4" t="str">
        <f aca="false">IF(E24="","",COUNTIFS($E$2:$E$201,E24,$K$2:$K$201,"Winner"))</f>
        <v/>
      </c>
      <c r="O24" s="14" t="str">
        <f aca="false">IF(E24="","",IF(N24&gt;=3,"Norma del canal",IF(N24&gt;=1,"Hipótesis con 1-2 victorias","Hipótesis")))</f>
        <v/>
      </c>
    </row>
    <row r="25" customFormat="false" ht="15" hidden="false" customHeight="false" outlineLevel="0" collapsed="false">
      <c r="A25" s="7"/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14" t="str">
        <f aca="false">IF(E25="","",COUNTIFS($E$2:$E$201,E25,$K$2:$K$201,"Winner"))</f>
        <v/>
      </c>
      <c r="O25" s="14" t="str">
        <f aca="false">IF(E25="","",IF(N25&gt;=3,"Norma del canal",IF(N25&gt;=1,"Hipótesis con 1-2 victorias","Hipótesis")))</f>
        <v/>
      </c>
    </row>
    <row r="26" customFormat="false" ht="15" hidden="false" customHeight="false" outlineLevel="0" collapsed="false">
      <c r="A26" s="7"/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14" t="str">
        <f aca="false">IF(E26="","",COUNTIFS($E$2:$E$201,E26,$K$2:$K$201,"Winner"))</f>
        <v/>
      </c>
      <c r="O26" s="14" t="str">
        <f aca="false">IF(E26="","",IF(N26&gt;=3,"Norma del canal",IF(N26&gt;=1,"Hipótesis con 1-2 victorias","Hipótesis")))</f>
        <v/>
      </c>
    </row>
    <row r="27" customFormat="false" ht="15" hidden="false" customHeight="false" outlineLevel="0" collapsed="false">
      <c r="A27" s="7"/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4" t="str">
        <f aca="false">IF(E27="","",COUNTIFS($E$2:$E$201,E27,$K$2:$K$201,"Winner"))</f>
        <v/>
      </c>
      <c r="O27" s="14" t="str">
        <f aca="false">IF(E27="","",IF(N27&gt;=3,"Norma del canal",IF(N27&gt;=1,"Hipótesis con 1-2 victorias","Hipótesis")))</f>
        <v/>
      </c>
    </row>
    <row r="28" customFormat="false" ht="15" hidden="false" customHeight="false" outlineLevel="0" collapsed="false">
      <c r="A28" s="7"/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4" t="str">
        <f aca="false">IF(E28="","",COUNTIFS($E$2:$E$201,E28,$K$2:$K$201,"Winner"))</f>
        <v/>
      </c>
      <c r="O28" s="14" t="str">
        <f aca="false">IF(E28="","",IF(N28&gt;=3,"Norma del canal",IF(N28&gt;=1,"Hipótesis con 1-2 victorias","Hipótesis")))</f>
        <v/>
      </c>
    </row>
    <row r="29" customFormat="false" ht="15" hidden="false" customHeight="false" outlineLevel="0" collapsed="false">
      <c r="A29" s="7"/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14" t="str">
        <f aca="false">IF(E29="","",COUNTIFS($E$2:$E$201,E29,$K$2:$K$201,"Winner"))</f>
        <v/>
      </c>
      <c r="O29" s="14" t="str">
        <f aca="false">IF(E29="","",IF(N29&gt;=3,"Norma del canal",IF(N29&gt;=1,"Hipótesis con 1-2 victorias","Hipótesis")))</f>
        <v/>
      </c>
    </row>
    <row r="30" customFormat="false" ht="15" hidden="false" customHeight="false" outlineLevel="0" collapsed="false">
      <c r="A30" s="7"/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14" t="str">
        <f aca="false">IF(E30="","",COUNTIFS($E$2:$E$201,E30,$K$2:$K$201,"Winner"))</f>
        <v/>
      </c>
      <c r="O30" s="14" t="str">
        <f aca="false">IF(E30="","",IF(N30&gt;=3,"Norma del canal",IF(N30&gt;=1,"Hipótesis con 1-2 victorias","Hipótesis")))</f>
        <v/>
      </c>
    </row>
    <row r="31" customFormat="false" ht="15" hidden="false" customHeight="false" outlineLevel="0" collapsed="false">
      <c r="A31" s="7"/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14" t="str">
        <f aca="false">IF(E31="","",COUNTIFS($E$2:$E$201,E31,$K$2:$K$201,"Winner"))</f>
        <v/>
      </c>
      <c r="O31" s="14" t="str">
        <f aca="false">IF(E31="","",IF(N31&gt;=3,"Norma del canal",IF(N31&gt;=1,"Hipótesis con 1-2 victorias","Hipótesis")))</f>
        <v/>
      </c>
    </row>
    <row r="32" customFormat="false" ht="15" hidden="false" customHeight="false" outlineLevel="0" collapsed="false">
      <c r="A32" s="7"/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14" t="str">
        <f aca="false">IF(E32="","",COUNTIFS($E$2:$E$201,E32,$K$2:$K$201,"Winner"))</f>
        <v/>
      </c>
      <c r="O32" s="14" t="str">
        <f aca="false">IF(E32="","",IF(N32&gt;=3,"Norma del canal",IF(N32&gt;=1,"Hipótesis con 1-2 victorias","Hipótesis")))</f>
        <v/>
      </c>
    </row>
    <row r="33" customFormat="false" ht="15" hidden="false" customHeight="false" outlineLevel="0" collapsed="false">
      <c r="A33" s="7"/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14" t="str">
        <f aca="false">IF(E33="","",COUNTIFS($E$2:$E$201,E33,$K$2:$K$201,"Winner"))</f>
        <v/>
      </c>
      <c r="O33" s="14" t="str">
        <f aca="false">IF(E33="","",IF(N33&gt;=3,"Norma del canal",IF(N33&gt;=1,"Hipótesis con 1-2 victorias","Hipótesis")))</f>
        <v/>
      </c>
    </row>
    <row r="34" customFormat="false" ht="15" hidden="false" customHeight="false" outlineLevel="0" collapsed="false">
      <c r="A34" s="7"/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14" t="str">
        <f aca="false">IF(E34="","",COUNTIFS($E$2:$E$201,E34,$K$2:$K$201,"Winner"))</f>
        <v/>
      </c>
      <c r="O34" s="14" t="str">
        <f aca="false">IF(E34="","",IF(N34&gt;=3,"Norma del canal",IF(N34&gt;=1,"Hipótesis con 1-2 victorias","Hipótesis")))</f>
        <v/>
      </c>
    </row>
    <row r="35" customFormat="false" ht="15" hidden="false" customHeight="false" outlineLevel="0" collapsed="false">
      <c r="A35" s="7"/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14" t="str">
        <f aca="false">IF(E35="","",COUNTIFS($E$2:$E$201,E35,$K$2:$K$201,"Winner"))</f>
        <v/>
      </c>
      <c r="O35" s="14" t="str">
        <f aca="false">IF(E35="","",IF(N35&gt;=3,"Norma del canal",IF(N35&gt;=1,"Hipótesis con 1-2 victorias","Hipótesis")))</f>
        <v/>
      </c>
    </row>
    <row r="36" customFormat="false" ht="15" hidden="false" customHeight="false" outlineLevel="0" collapsed="false">
      <c r="A36" s="7"/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14" t="str">
        <f aca="false">IF(E36="","",COUNTIFS($E$2:$E$201,E36,$K$2:$K$201,"Winner"))</f>
        <v/>
      </c>
      <c r="O36" s="14" t="str">
        <f aca="false">IF(E36="","",IF(N36&gt;=3,"Norma del canal",IF(N36&gt;=1,"Hipótesis con 1-2 victorias","Hipótesis")))</f>
        <v/>
      </c>
    </row>
    <row r="37" customFormat="false" ht="15" hidden="false" customHeight="false" outlineLevel="0" collapsed="false">
      <c r="A37" s="7"/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14" t="str">
        <f aca="false">IF(E37="","",COUNTIFS($E$2:$E$201,E37,$K$2:$K$201,"Winner"))</f>
        <v/>
      </c>
      <c r="O37" s="14" t="str">
        <f aca="false">IF(E37="","",IF(N37&gt;=3,"Norma del canal",IF(N37&gt;=1,"Hipótesis con 1-2 victorias","Hipótesis")))</f>
        <v/>
      </c>
    </row>
    <row r="38" customFormat="false" ht="15" hidden="false" customHeight="false" outlineLevel="0" collapsed="false">
      <c r="A38" s="7"/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14" t="str">
        <f aca="false">IF(E38="","",COUNTIFS($E$2:$E$201,E38,$K$2:$K$201,"Winner"))</f>
        <v/>
      </c>
      <c r="O38" s="14" t="str">
        <f aca="false">IF(E38="","",IF(N38&gt;=3,"Norma del canal",IF(N38&gt;=1,"Hipótesis con 1-2 victorias","Hipótesis")))</f>
        <v/>
      </c>
    </row>
    <row r="39" customFormat="false" ht="15" hidden="false" customHeight="false" outlineLevel="0" collapsed="false">
      <c r="A39" s="7"/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14" t="str">
        <f aca="false">IF(E39="","",COUNTIFS($E$2:$E$201,E39,$K$2:$K$201,"Winner"))</f>
        <v/>
      </c>
      <c r="O39" s="14" t="str">
        <f aca="false">IF(E39="","",IF(N39&gt;=3,"Norma del canal",IF(N39&gt;=1,"Hipótesis con 1-2 victorias","Hipótesis")))</f>
        <v/>
      </c>
    </row>
    <row r="40" customFormat="false" ht="15" hidden="false" customHeight="false" outlineLevel="0" collapsed="false">
      <c r="A40" s="7"/>
      <c r="B40" s="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14" t="str">
        <f aca="false">IF(E40="","",COUNTIFS($E$2:$E$201,E40,$K$2:$K$201,"Winner"))</f>
        <v/>
      </c>
      <c r="O40" s="14" t="str">
        <f aca="false">IF(E40="","",IF(N40&gt;=3,"Norma del canal",IF(N40&gt;=1,"Hipótesis con 1-2 victorias","Hipótesis")))</f>
        <v/>
      </c>
    </row>
    <row r="41" customFormat="false" ht="15" hidden="false" customHeight="false" outlineLevel="0" collapsed="false">
      <c r="A41" s="7"/>
      <c r="B41" s="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14" t="str">
        <f aca="false">IF(E41="","",COUNTIFS($E$2:$E$201,E41,$K$2:$K$201,"Winner"))</f>
        <v/>
      </c>
      <c r="O41" s="14" t="str">
        <f aca="false">IF(E41="","",IF(N41&gt;=3,"Norma del canal",IF(N41&gt;=1,"Hipótesis con 1-2 victorias","Hipótesis")))</f>
        <v/>
      </c>
    </row>
    <row r="42" customFormat="false" ht="15" hidden="false" customHeight="false" outlineLevel="0" collapsed="false">
      <c r="A42" s="7"/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14" t="str">
        <f aca="false">IF(E42="","",COUNTIFS($E$2:$E$201,E42,$K$2:$K$201,"Winner"))</f>
        <v/>
      </c>
      <c r="O42" s="14" t="str">
        <f aca="false">IF(E42="","",IF(N42&gt;=3,"Norma del canal",IF(N42&gt;=1,"Hipótesis con 1-2 victorias","Hipótesis")))</f>
        <v/>
      </c>
    </row>
    <row r="43" customFormat="false" ht="15" hidden="false" customHeight="false" outlineLevel="0" collapsed="false">
      <c r="A43" s="7"/>
      <c r="B43" s="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14" t="str">
        <f aca="false">IF(E43="","",COUNTIFS($E$2:$E$201,E43,$K$2:$K$201,"Winner"))</f>
        <v/>
      </c>
      <c r="O43" s="14" t="str">
        <f aca="false">IF(E43="","",IF(N43&gt;=3,"Norma del canal",IF(N43&gt;=1,"Hipótesis con 1-2 victorias","Hipótesis")))</f>
        <v/>
      </c>
    </row>
    <row r="44" customFormat="false" ht="15" hidden="false" customHeight="false" outlineLevel="0" collapsed="false">
      <c r="A44" s="7"/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14" t="str">
        <f aca="false">IF(E44="","",COUNTIFS($E$2:$E$201,E44,$K$2:$K$201,"Winner"))</f>
        <v/>
      </c>
      <c r="O44" s="14" t="str">
        <f aca="false">IF(E44="","",IF(N44&gt;=3,"Norma del canal",IF(N44&gt;=1,"Hipótesis con 1-2 victorias","Hipótesis")))</f>
        <v/>
      </c>
    </row>
    <row r="45" customFormat="false" ht="15" hidden="false" customHeight="false" outlineLevel="0" collapsed="false">
      <c r="A45" s="7"/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14" t="str">
        <f aca="false">IF(E45="","",COUNTIFS($E$2:$E$201,E45,$K$2:$K$201,"Winner"))</f>
        <v/>
      </c>
      <c r="O45" s="14" t="str">
        <f aca="false">IF(E45="","",IF(N45&gt;=3,"Norma del canal",IF(N45&gt;=1,"Hipótesis con 1-2 victorias","Hipótesis")))</f>
        <v/>
      </c>
    </row>
    <row r="46" customFormat="false" ht="15" hidden="false" customHeight="false" outlineLevel="0" collapsed="false">
      <c r="A46" s="7"/>
      <c r="B46" s="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14" t="str">
        <f aca="false">IF(E46="","",COUNTIFS($E$2:$E$201,E46,$K$2:$K$201,"Winner"))</f>
        <v/>
      </c>
      <c r="O46" s="14" t="str">
        <f aca="false">IF(E46="","",IF(N46&gt;=3,"Norma del canal",IF(N46&gt;=1,"Hipótesis con 1-2 victorias","Hipótesis")))</f>
        <v/>
      </c>
    </row>
    <row r="47" customFormat="false" ht="15" hidden="false" customHeight="false" outlineLevel="0" collapsed="false">
      <c r="A47" s="7"/>
      <c r="B47" s="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14" t="str">
        <f aca="false">IF(E47="","",COUNTIFS($E$2:$E$201,E47,$K$2:$K$201,"Winner"))</f>
        <v/>
      </c>
      <c r="O47" s="14" t="str">
        <f aca="false">IF(E47="","",IF(N47&gt;=3,"Norma del canal",IF(N47&gt;=1,"Hipótesis con 1-2 victorias","Hipótesis")))</f>
        <v/>
      </c>
    </row>
    <row r="48" customFormat="false" ht="15" hidden="false" customHeight="false" outlineLevel="0" collapsed="false">
      <c r="A48" s="7"/>
      <c r="B48" s="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14" t="str">
        <f aca="false">IF(E48="","",COUNTIFS($E$2:$E$201,E48,$K$2:$K$201,"Winner"))</f>
        <v/>
      </c>
      <c r="O48" s="14" t="str">
        <f aca="false">IF(E48="","",IF(N48&gt;=3,"Norma del canal",IF(N48&gt;=1,"Hipótesis con 1-2 victorias","Hipótesis")))</f>
        <v/>
      </c>
    </row>
    <row r="49" customFormat="false" ht="15" hidden="false" customHeight="false" outlineLevel="0" collapsed="false">
      <c r="A49" s="7"/>
      <c r="B49" s="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14" t="str">
        <f aca="false">IF(E49="","",COUNTIFS($E$2:$E$201,E49,$K$2:$K$201,"Winner"))</f>
        <v/>
      </c>
      <c r="O49" s="14" t="str">
        <f aca="false">IF(E49="","",IF(N49&gt;=3,"Norma del canal",IF(N49&gt;=1,"Hipótesis con 1-2 victorias","Hipótesis")))</f>
        <v/>
      </c>
    </row>
    <row r="50" customFormat="false" ht="15" hidden="false" customHeight="false" outlineLevel="0" collapsed="false">
      <c r="A50" s="7"/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14" t="str">
        <f aca="false">IF(E50="","",COUNTIFS($E$2:$E$201,E50,$K$2:$K$201,"Winner"))</f>
        <v/>
      </c>
      <c r="O50" s="14" t="str">
        <f aca="false">IF(E50="","",IF(N50&gt;=3,"Norma del canal",IF(N50&gt;=1,"Hipótesis con 1-2 victorias","Hipótesis")))</f>
        <v/>
      </c>
    </row>
    <row r="51" customFormat="false" ht="15" hidden="false" customHeight="false" outlineLevel="0" collapsed="false">
      <c r="A51" s="7"/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14" t="str">
        <f aca="false">IF(E51="","",COUNTIFS($E$2:$E$201,E51,$K$2:$K$201,"Winner"))</f>
        <v/>
      </c>
      <c r="O51" s="14" t="str">
        <f aca="false">IF(E51="","",IF(N51&gt;=3,"Norma del canal",IF(N51&gt;=1,"Hipótesis con 1-2 victorias","Hipótesis")))</f>
        <v/>
      </c>
    </row>
    <row r="52" customFormat="false" ht="15" hidden="false" customHeight="false" outlineLevel="0" collapsed="false">
      <c r="A52" s="7"/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14" t="str">
        <f aca="false">IF(E52="","",COUNTIFS($E$2:$E$201,E52,$K$2:$K$201,"Winner"))</f>
        <v/>
      </c>
      <c r="O52" s="14" t="str">
        <f aca="false">IF(E52="","",IF(N52&gt;=3,"Norma del canal",IF(N52&gt;=1,"Hipótesis con 1-2 victorias","Hipótesis")))</f>
        <v/>
      </c>
    </row>
    <row r="53" customFormat="false" ht="15" hidden="false" customHeight="false" outlineLevel="0" collapsed="false">
      <c r="A53" s="7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14" t="str">
        <f aca="false">IF(E53="","",COUNTIFS($E$2:$E$201,E53,$K$2:$K$201,"Winner"))</f>
        <v/>
      </c>
      <c r="O53" s="14" t="str">
        <f aca="false">IF(E53="","",IF(N53&gt;=3,"Norma del canal",IF(N53&gt;=1,"Hipótesis con 1-2 victorias","Hipótesis")))</f>
        <v/>
      </c>
    </row>
    <row r="54" customFormat="false" ht="15" hidden="false" customHeight="false" outlineLevel="0" collapsed="false">
      <c r="A54" s="7"/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14" t="str">
        <f aca="false">IF(E54="","",COUNTIFS($E$2:$E$201,E54,$K$2:$K$201,"Winner"))</f>
        <v/>
      </c>
      <c r="O54" s="14" t="str">
        <f aca="false">IF(E54="","",IF(N54&gt;=3,"Norma del canal",IF(N54&gt;=1,"Hipótesis con 1-2 victorias","Hipótesis")))</f>
        <v/>
      </c>
    </row>
    <row r="55" customFormat="false" ht="15" hidden="false" customHeight="false" outlineLevel="0" collapsed="false">
      <c r="A55" s="7"/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14" t="str">
        <f aca="false">IF(E55="","",COUNTIFS($E$2:$E$201,E55,$K$2:$K$201,"Winner"))</f>
        <v/>
      </c>
      <c r="O55" s="14" t="str">
        <f aca="false">IF(E55="","",IF(N55&gt;=3,"Norma del canal",IF(N55&gt;=1,"Hipótesis con 1-2 victorias","Hipótesis")))</f>
        <v/>
      </c>
    </row>
    <row r="56" customFormat="false" ht="15" hidden="false" customHeight="false" outlineLevel="0" collapsed="false">
      <c r="A56" s="7"/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14" t="str">
        <f aca="false">IF(E56="","",COUNTIFS($E$2:$E$201,E56,$K$2:$K$201,"Winner"))</f>
        <v/>
      </c>
      <c r="O56" s="14" t="str">
        <f aca="false">IF(E56="","",IF(N56&gt;=3,"Norma del canal",IF(N56&gt;=1,"Hipótesis con 1-2 victorias","Hipótesis")))</f>
        <v/>
      </c>
    </row>
    <row r="57" customFormat="false" ht="15" hidden="false" customHeight="false" outlineLevel="0" collapsed="false">
      <c r="A57" s="7"/>
      <c r="B57" s="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14" t="str">
        <f aca="false">IF(E57="","",COUNTIFS($E$2:$E$201,E57,$K$2:$K$201,"Winner"))</f>
        <v/>
      </c>
      <c r="O57" s="14" t="str">
        <f aca="false">IF(E57="","",IF(N57&gt;=3,"Norma del canal",IF(N57&gt;=1,"Hipótesis con 1-2 victorias","Hipótesis")))</f>
        <v/>
      </c>
    </row>
    <row r="58" customFormat="false" ht="15" hidden="false" customHeight="false" outlineLevel="0" collapsed="false">
      <c r="A58" s="7"/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14" t="str">
        <f aca="false">IF(E58="","",COUNTIFS($E$2:$E$201,E58,$K$2:$K$201,"Winner"))</f>
        <v/>
      </c>
      <c r="O58" s="14" t="str">
        <f aca="false">IF(E58="","",IF(N58&gt;=3,"Norma del canal",IF(N58&gt;=1,"Hipótesis con 1-2 victorias","Hipótesis")))</f>
        <v/>
      </c>
    </row>
    <row r="59" customFormat="false" ht="15" hidden="false" customHeight="false" outlineLevel="0" collapsed="false">
      <c r="A59" s="7"/>
      <c r="B59" s="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14" t="str">
        <f aca="false">IF(E59="","",COUNTIFS($E$2:$E$201,E59,$K$2:$K$201,"Winner"))</f>
        <v/>
      </c>
      <c r="O59" s="14" t="str">
        <f aca="false">IF(E59="","",IF(N59&gt;=3,"Norma del canal",IF(N59&gt;=1,"Hipótesis con 1-2 victorias","Hipótesis")))</f>
        <v/>
      </c>
    </row>
    <row r="60" customFormat="false" ht="15" hidden="false" customHeight="false" outlineLevel="0" collapsed="false">
      <c r="A60" s="7"/>
      <c r="B60" s="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14" t="str">
        <f aca="false">IF(E60="","",COUNTIFS($E$2:$E$201,E60,$K$2:$K$201,"Winner"))</f>
        <v/>
      </c>
      <c r="O60" s="14" t="str">
        <f aca="false">IF(E60="","",IF(N60&gt;=3,"Norma del canal",IF(N60&gt;=1,"Hipótesis con 1-2 victorias","Hipótesis")))</f>
        <v/>
      </c>
    </row>
    <row r="61" customFormat="false" ht="15" hidden="false" customHeight="false" outlineLevel="0" collapsed="false">
      <c r="A61" s="7"/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14" t="str">
        <f aca="false">IF(E61="","",COUNTIFS($E$2:$E$201,E61,$K$2:$K$201,"Winner"))</f>
        <v/>
      </c>
      <c r="O61" s="14" t="str">
        <f aca="false">IF(E61="","",IF(N61&gt;=3,"Norma del canal",IF(N61&gt;=1,"Hipótesis con 1-2 victorias","Hipótesis")))</f>
        <v/>
      </c>
    </row>
    <row r="62" customFormat="false" ht="15" hidden="false" customHeight="false" outlineLevel="0" collapsed="false">
      <c r="A62" s="7"/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14" t="str">
        <f aca="false">IF(E62="","",COUNTIFS($E$2:$E$201,E62,$K$2:$K$201,"Winner"))</f>
        <v/>
      </c>
      <c r="O62" s="14" t="str">
        <f aca="false">IF(E62="","",IF(N62&gt;=3,"Norma del canal",IF(N62&gt;=1,"Hipótesis con 1-2 victorias","Hipótesis")))</f>
        <v/>
      </c>
    </row>
    <row r="63" customFormat="false" ht="15" hidden="false" customHeight="false" outlineLevel="0" collapsed="false">
      <c r="A63" s="7"/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14" t="str">
        <f aca="false">IF(E63="","",COUNTIFS($E$2:$E$201,E63,$K$2:$K$201,"Winner"))</f>
        <v/>
      </c>
      <c r="O63" s="14" t="str">
        <f aca="false">IF(E63="","",IF(N63&gt;=3,"Norma del canal",IF(N63&gt;=1,"Hipótesis con 1-2 victorias","Hipótesis")))</f>
        <v/>
      </c>
    </row>
    <row r="64" customFormat="false" ht="15" hidden="false" customHeight="false" outlineLevel="0" collapsed="false">
      <c r="A64" s="7"/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14" t="str">
        <f aca="false">IF(E64="","",COUNTIFS($E$2:$E$201,E64,$K$2:$K$201,"Winner"))</f>
        <v/>
      </c>
      <c r="O64" s="14" t="str">
        <f aca="false">IF(E64="","",IF(N64&gt;=3,"Norma del canal",IF(N64&gt;=1,"Hipótesis con 1-2 victorias","Hipótesis")))</f>
        <v/>
      </c>
    </row>
    <row r="65" customFormat="false" ht="15" hidden="false" customHeight="false" outlineLevel="0" collapsed="false">
      <c r="A65" s="7"/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14" t="str">
        <f aca="false">IF(E65="","",COUNTIFS($E$2:$E$201,E65,$K$2:$K$201,"Winner"))</f>
        <v/>
      </c>
      <c r="O65" s="14" t="str">
        <f aca="false">IF(E65="","",IF(N65&gt;=3,"Norma del canal",IF(N65&gt;=1,"Hipótesis con 1-2 victorias","Hipótesis")))</f>
        <v/>
      </c>
    </row>
    <row r="66" customFormat="false" ht="15" hidden="false" customHeight="false" outlineLevel="0" collapsed="false">
      <c r="A66" s="7"/>
      <c r="B66" s="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14" t="str">
        <f aca="false">IF(E66="","",COUNTIFS($E$2:$E$201,E66,$K$2:$K$201,"Winner"))</f>
        <v/>
      </c>
      <c r="O66" s="14" t="str">
        <f aca="false">IF(E66="","",IF(N66&gt;=3,"Norma del canal",IF(N66&gt;=1,"Hipótesis con 1-2 victorias","Hipótesis")))</f>
        <v/>
      </c>
    </row>
    <row r="67" customFormat="false" ht="15" hidden="false" customHeight="false" outlineLevel="0" collapsed="false">
      <c r="A67" s="7"/>
      <c r="B67" s="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14" t="str">
        <f aca="false">IF(E67="","",COUNTIFS($E$2:$E$201,E67,$K$2:$K$201,"Winner"))</f>
        <v/>
      </c>
      <c r="O67" s="14" t="str">
        <f aca="false">IF(E67="","",IF(N67&gt;=3,"Norma del canal",IF(N67&gt;=1,"Hipótesis con 1-2 victorias","Hipótesis")))</f>
        <v/>
      </c>
    </row>
    <row r="68" customFormat="false" ht="15" hidden="false" customHeight="false" outlineLevel="0" collapsed="false">
      <c r="A68" s="7"/>
      <c r="B68" s="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14" t="str">
        <f aca="false">IF(E68="","",COUNTIFS($E$2:$E$201,E68,$K$2:$K$201,"Winner"))</f>
        <v/>
      </c>
      <c r="O68" s="14" t="str">
        <f aca="false">IF(E68="","",IF(N68&gt;=3,"Norma del canal",IF(N68&gt;=1,"Hipótesis con 1-2 victorias","Hipótesis")))</f>
        <v/>
      </c>
    </row>
    <row r="69" customFormat="false" ht="15" hidden="false" customHeight="false" outlineLevel="0" collapsed="false">
      <c r="A69" s="7"/>
      <c r="B69" s="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14" t="str">
        <f aca="false">IF(E69="","",COUNTIFS($E$2:$E$201,E69,$K$2:$K$201,"Winner"))</f>
        <v/>
      </c>
      <c r="O69" s="14" t="str">
        <f aca="false">IF(E69="","",IF(N69&gt;=3,"Norma del canal",IF(N69&gt;=1,"Hipótesis con 1-2 victorias","Hipótesis")))</f>
        <v/>
      </c>
    </row>
    <row r="70" customFormat="false" ht="15" hidden="false" customHeight="false" outlineLevel="0" collapsed="false">
      <c r="A70" s="7"/>
      <c r="B70" s="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14" t="str">
        <f aca="false">IF(E70="","",COUNTIFS($E$2:$E$201,E70,$K$2:$K$201,"Winner"))</f>
        <v/>
      </c>
      <c r="O70" s="14" t="str">
        <f aca="false">IF(E70="","",IF(N70&gt;=3,"Norma del canal",IF(N70&gt;=1,"Hipótesis con 1-2 victorias","Hipótesis")))</f>
        <v/>
      </c>
    </row>
    <row r="71" customFormat="false" ht="15" hidden="false" customHeight="false" outlineLevel="0" collapsed="false">
      <c r="A71" s="7"/>
      <c r="B71" s="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14" t="str">
        <f aca="false">IF(E71="","",COUNTIFS($E$2:$E$201,E71,$K$2:$K$201,"Winner"))</f>
        <v/>
      </c>
      <c r="O71" s="14" t="str">
        <f aca="false">IF(E71="","",IF(N71&gt;=3,"Norma del canal",IF(N71&gt;=1,"Hipótesis con 1-2 victorias","Hipótesis")))</f>
        <v/>
      </c>
    </row>
    <row r="72" customFormat="false" ht="15" hidden="false" customHeight="false" outlineLevel="0" collapsed="false">
      <c r="A72" s="7"/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14" t="str">
        <f aca="false">IF(E72="","",COUNTIFS($E$2:$E$201,E72,$K$2:$K$201,"Winner"))</f>
        <v/>
      </c>
      <c r="O72" s="14" t="str">
        <f aca="false">IF(E72="","",IF(N72&gt;=3,"Norma del canal",IF(N72&gt;=1,"Hipótesis con 1-2 victorias","Hipótesis")))</f>
        <v/>
      </c>
    </row>
    <row r="73" customFormat="false" ht="15" hidden="false" customHeight="false" outlineLevel="0" collapsed="false">
      <c r="A73" s="7"/>
      <c r="B73" s="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14" t="str">
        <f aca="false">IF(E73="","",COUNTIFS($E$2:$E$201,E73,$K$2:$K$201,"Winner"))</f>
        <v/>
      </c>
      <c r="O73" s="14" t="str">
        <f aca="false">IF(E73="","",IF(N73&gt;=3,"Norma del canal",IF(N73&gt;=1,"Hipótesis con 1-2 victorias","Hipótesis")))</f>
        <v/>
      </c>
    </row>
    <row r="74" customFormat="false" ht="15" hidden="false" customHeight="false" outlineLevel="0" collapsed="false">
      <c r="A74" s="7"/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14" t="str">
        <f aca="false">IF(E74="","",COUNTIFS($E$2:$E$201,E74,$K$2:$K$201,"Winner"))</f>
        <v/>
      </c>
      <c r="O74" s="14" t="str">
        <f aca="false">IF(E74="","",IF(N74&gt;=3,"Norma del canal",IF(N74&gt;=1,"Hipótesis con 1-2 victorias","Hipótesis")))</f>
        <v/>
      </c>
    </row>
    <row r="75" customFormat="false" ht="15" hidden="false" customHeight="false" outlineLevel="0" collapsed="false">
      <c r="A75" s="7"/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14" t="str">
        <f aca="false">IF(E75="","",COUNTIFS($E$2:$E$201,E75,$K$2:$K$201,"Winner"))</f>
        <v/>
      </c>
      <c r="O75" s="14" t="str">
        <f aca="false">IF(E75="","",IF(N75&gt;=3,"Norma del canal",IF(N75&gt;=1,"Hipótesis con 1-2 victorias","Hipótesis")))</f>
        <v/>
      </c>
    </row>
    <row r="76" customFormat="false" ht="15" hidden="false" customHeight="false" outlineLevel="0" collapsed="false">
      <c r="A76" s="7"/>
      <c r="B76" s="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14" t="str">
        <f aca="false">IF(E76="","",COUNTIFS($E$2:$E$201,E76,$K$2:$K$201,"Winner"))</f>
        <v/>
      </c>
      <c r="O76" s="14" t="str">
        <f aca="false">IF(E76="","",IF(N76&gt;=3,"Norma del canal",IF(N76&gt;=1,"Hipótesis con 1-2 victorias","Hipótesis")))</f>
        <v/>
      </c>
    </row>
    <row r="77" customFormat="false" ht="15" hidden="false" customHeight="false" outlineLevel="0" collapsed="false">
      <c r="A77" s="7"/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14" t="str">
        <f aca="false">IF(E77="","",COUNTIFS($E$2:$E$201,E77,$K$2:$K$201,"Winner"))</f>
        <v/>
      </c>
      <c r="O77" s="14" t="str">
        <f aca="false">IF(E77="","",IF(N77&gt;=3,"Norma del canal",IF(N77&gt;=1,"Hipótesis con 1-2 victorias","Hipótesis")))</f>
        <v/>
      </c>
    </row>
    <row r="78" customFormat="false" ht="15" hidden="false" customHeight="false" outlineLevel="0" collapsed="false">
      <c r="A78" s="7"/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14" t="str">
        <f aca="false">IF(E78="","",COUNTIFS($E$2:$E$201,E78,$K$2:$K$201,"Winner"))</f>
        <v/>
      </c>
      <c r="O78" s="14" t="str">
        <f aca="false">IF(E78="","",IF(N78&gt;=3,"Norma del canal",IF(N78&gt;=1,"Hipótesis con 1-2 victorias","Hipótesis")))</f>
        <v/>
      </c>
    </row>
    <row r="79" customFormat="false" ht="15" hidden="false" customHeight="false" outlineLevel="0" collapsed="false">
      <c r="A79" s="7"/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14" t="str">
        <f aca="false">IF(E79="","",COUNTIFS($E$2:$E$201,E79,$K$2:$K$201,"Winner"))</f>
        <v/>
      </c>
      <c r="O79" s="14" t="str">
        <f aca="false">IF(E79="","",IF(N79&gt;=3,"Norma del canal",IF(N79&gt;=1,"Hipótesis con 1-2 victorias","Hipótesis")))</f>
        <v/>
      </c>
    </row>
    <row r="80" customFormat="false" ht="15" hidden="false" customHeight="false" outlineLevel="0" collapsed="false">
      <c r="A80" s="7"/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14" t="str">
        <f aca="false">IF(E80="","",COUNTIFS($E$2:$E$201,E80,$K$2:$K$201,"Winner"))</f>
        <v/>
      </c>
      <c r="O80" s="14" t="str">
        <f aca="false">IF(E80="","",IF(N80&gt;=3,"Norma del canal",IF(N80&gt;=1,"Hipótesis con 1-2 victorias","Hipótesis")))</f>
        <v/>
      </c>
    </row>
    <row r="81" customFormat="false" ht="15" hidden="false" customHeight="false" outlineLevel="0" collapsed="false">
      <c r="A81" s="7"/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14" t="str">
        <f aca="false">IF(E81="","",COUNTIFS($E$2:$E$201,E81,$K$2:$K$201,"Winner"))</f>
        <v/>
      </c>
      <c r="O81" s="14" t="str">
        <f aca="false">IF(E81="","",IF(N81&gt;=3,"Norma del canal",IF(N81&gt;=1,"Hipótesis con 1-2 victorias","Hipótesis")))</f>
        <v/>
      </c>
    </row>
    <row r="82" customFormat="false" ht="15" hidden="false" customHeight="false" outlineLevel="0" collapsed="false">
      <c r="A82" s="7"/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14" t="str">
        <f aca="false">IF(E82="","",COUNTIFS($E$2:$E$201,E82,$K$2:$K$201,"Winner"))</f>
        <v/>
      </c>
      <c r="O82" s="14" t="str">
        <f aca="false">IF(E82="","",IF(N82&gt;=3,"Norma del canal",IF(N82&gt;=1,"Hipótesis con 1-2 victorias","Hipótesis")))</f>
        <v/>
      </c>
    </row>
    <row r="83" customFormat="false" ht="15" hidden="false" customHeight="false" outlineLevel="0" collapsed="false">
      <c r="A83" s="7"/>
      <c r="B83" s="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14" t="str">
        <f aca="false">IF(E83="","",COUNTIFS($E$2:$E$201,E83,$K$2:$K$201,"Winner"))</f>
        <v/>
      </c>
      <c r="O83" s="14" t="str">
        <f aca="false">IF(E83="","",IF(N83&gt;=3,"Norma del canal",IF(N83&gt;=1,"Hipótesis con 1-2 victorias","Hipótesis")))</f>
        <v/>
      </c>
    </row>
    <row r="84" customFormat="false" ht="15" hidden="false" customHeight="false" outlineLevel="0" collapsed="false">
      <c r="A84" s="7"/>
      <c r="B84" s="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14" t="str">
        <f aca="false">IF(E84="","",COUNTIFS($E$2:$E$201,E84,$K$2:$K$201,"Winner"))</f>
        <v/>
      </c>
      <c r="O84" s="14" t="str">
        <f aca="false">IF(E84="","",IF(N84&gt;=3,"Norma del canal",IF(N84&gt;=1,"Hipótesis con 1-2 victorias","Hipótesis")))</f>
        <v/>
      </c>
    </row>
    <row r="85" customFormat="false" ht="15" hidden="false" customHeight="false" outlineLevel="0" collapsed="false">
      <c r="A85" s="7"/>
      <c r="B85" s="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14" t="str">
        <f aca="false">IF(E85="","",COUNTIFS($E$2:$E$201,E85,$K$2:$K$201,"Winner"))</f>
        <v/>
      </c>
      <c r="O85" s="14" t="str">
        <f aca="false">IF(E85="","",IF(N85&gt;=3,"Norma del canal",IF(N85&gt;=1,"Hipótesis con 1-2 victorias","Hipótesis")))</f>
        <v/>
      </c>
    </row>
    <row r="86" customFormat="false" ht="15" hidden="false" customHeight="false" outlineLevel="0" collapsed="false">
      <c r="A86" s="7"/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14" t="str">
        <f aca="false">IF(E86="","",COUNTIFS($E$2:$E$201,E86,$K$2:$K$201,"Winner"))</f>
        <v/>
      </c>
      <c r="O86" s="14" t="str">
        <f aca="false">IF(E86="","",IF(N86&gt;=3,"Norma del canal",IF(N86&gt;=1,"Hipótesis con 1-2 victorias","Hipótesis")))</f>
        <v/>
      </c>
    </row>
    <row r="87" customFormat="false" ht="15" hidden="false" customHeight="false" outlineLevel="0" collapsed="false">
      <c r="A87" s="7"/>
      <c r="B87" s="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14" t="str">
        <f aca="false">IF(E87="","",COUNTIFS($E$2:$E$201,E87,$K$2:$K$201,"Winner"))</f>
        <v/>
      </c>
      <c r="O87" s="14" t="str">
        <f aca="false">IF(E87="","",IF(N87&gt;=3,"Norma del canal",IF(N87&gt;=1,"Hipótesis con 1-2 victorias","Hipótesis")))</f>
        <v/>
      </c>
    </row>
    <row r="88" customFormat="false" ht="15" hidden="false" customHeight="false" outlineLevel="0" collapsed="false">
      <c r="A88" s="7"/>
      <c r="B88" s="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14" t="str">
        <f aca="false">IF(E88="","",COUNTIFS($E$2:$E$201,E88,$K$2:$K$201,"Winner"))</f>
        <v/>
      </c>
      <c r="O88" s="14" t="str">
        <f aca="false">IF(E88="","",IF(N88&gt;=3,"Norma del canal",IF(N88&gt;=1,"Hipótesis con 1-2 victorias","Hipótesis")))</f>
        <v/>
      </c>
    </row>
    <row r="89" customFormat="false" ht="15" hidden="false" customHeight="false" outlineLevel="0" collapsed="false">
      <c r="A89" s="7"/>
      <c r="B89" s="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14" t="str">
        <f aca="false">IF(E89="","",COUNTIFS($E$2:$E$201,E89,$K$2:$K$201,"Winner"))</f>
        <v/>
      </c>
      <c r="O89" s="14" t="str">
        <f aca="false">IF(E89="","",IF(N89&gt;=3,"Norma del canal",IF(N89&gt;=1,"Hipótesis con 1-2 victorias","Hipótesis")))</f>
        <v/>
      </c>
    </row>
    <row r="90" customFormat="false" ht="15" hidden="false" customHeight="false" outlineLevel="0" collapsed="false">
      <c r="A90" s="7"/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14" t="str">
        <f aca="false">IF(E90="","",COUNTIFS($E$2:$E$201,E90,$K$2:$K$201,"Winner"))</f>
        <v/>
      </c>
      <c r="O90" s="14" t="str">
        <f aca="false">IF(E90="","",IF(N90&gt;=3,"Norma del canal",IF(N90&gt;=1,"Hipótesis con 1-2 victorias","Hipótesis")))</f>
        <v/>
      </c>
    </row>
    <row r="91" customFormat="false" ht="15" hidden="false" customHeight="false" outlineLevel="0" collapsed="false">
      <c r="A91" s="7"/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14" t="str">
        <f aca="false">IF(E91="","",COUNTIFS($E$2:$E$201,E91,$K$2:$K$201,"Winner"))</f>
        <v/>
      </c>
      <c r="O91" s="14" t="str">
        <f aca="false">IF(E91="","",IF(N91&gt;=3,"Norma del canal",IF(N91&gt;=1,"Hipótesis con 1-2 victorias","Hipótesis")))</f>
        <v/>
      </c>
    </row>
    <row r="92" customFormat="false" ht="15" hidden="false" customHeight="false" outlineLevel="0" collapsed="false">
      <c r="A92" s="7"/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14" t="str">
        <f aca="false">IF(E92="","",COUNTIFS($E$2:$E$201,E92,$K$2:$K$201,"Winner"))</f>
        <v/>
      </c>
      <c r="O92" s="14" t="str">
        <f aca="false">IF(E92="","",IF(N92&gt;=3,"Norma del canal",IF(N92&gt;=1,"Hipótesis con 1-2 victorias","Hipótesis")))</f>
        <v/>
      </c>
    </row>
    <row r="93" customFormat="false" ht="15" hidden="false" customHeight="false" outlineLevel="0" collapsed="false">
      <c r="A93" s="7"/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14" t="str">
        <f aca="false">IF(E93="","",COUNTIFS($E$2:$E$201,E93,$K$2:$K$201,"Winner"))</f>
        <v/>
      </c>
      <c r="O93" s="14" t="str">
        <f aca="false">IF(E93="","",IF(N93&gt;=3,"Norma del canal",IF(N93&gt;=1,"Hipótesis con 1-2 victorias","Hipótesis")))</f>
        <v/>
      </c>
    </row>
    <row r="94" customFormat="false" ht="15" hidden="false" customHeight="false" outlineLevel="0" collapsed="false">
      <c r="A94" s="7"/>
      <c r="B94" s="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14" t="str">
        <f aca="false">IF(E94="","",COUNTIFS($E$2:$E$201,E94,$K$2:$K$201,"Winner"))</f>
        <v/>
      </c>
      <c r="O94" s="14" t="str">
        <f aca="false">IF(E94="","",IF(N94&gt;=3,"Norma del canal",IF(N94&gt;=1,"Hipótesis con 1-2 victorias","Hipótesis")))</f>
        <v/>
      </c>
    </row>
    <row r="95" customFormat="false" ht="15" hidden="false" customHeight="false" outlineLevel="0" collapsed="false">
      <c r="A95" s="7"/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14" t="str">
        <f aca="false">IF(E95="","",COUNTIFS($E$2:$E$201,E95,$K$2:$K$201,"Winner"))</f>
        <v/>
      </c>
      <c r="O95" s="14" t="str">
        <f aca="false">IF(E95="","",IF(N95&gt;=3,"Norma del canal",IF(N95&gt;=1,"Hipótesis con 1-2 victorias","Hipótesis")))</f>
        <v/>
      </c>
    </row>
    <row r="96" customFormat="false" ht="15" hidden="false" customHeight="false" outlineLevel="0" collapsed="false">
      <c r="A96" s="7"/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14" t="str">
        <f aca="false">IF(E96="","",COUNTIFS($E$2:$E$201,E96,$K$2:$K$201,"Winner"))</f>
        <v/>
      </c>
      <c r="O96" s="14" t="str">
        <f aca="false">IF(E96="","",IF(N96&gt;=3,"Norma del canal",IF(N96&gt;=1,"Hipótesis con 1-2 victorias","Hipótesis")))</f>
        <v/>
      </c>
    </row>
    <row r="97" customFormat="false" ht="15" hidden="false" customHeight="false" outlineLevel="0" collapsed="false">
      <c r="A97" s="7"/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14" t="str">
        <f aca="false">IF(E97="","",COUNTIFS($E$2:$E$201,E97,$K$2:$K$201,"Winner"))</f>
        <v/>
      </c>
      <c r="O97" s="14" t="str">
        <f aca="false">IF(E97="","",IF(N97&gt;=3,"Norma del canal",IF(N97&gt;=1,"Hipótesis con 1-2 victorias","Hipótesis")))</f>
        <v/>
      </c>
    </row>
    <row r="98" customFormat="false" ht="15" hidden="false" customHeight="false" outlineLevel="0" collapsed="false">
      <c r="A98" s="7"/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14" t="str">
        <f aca="false">IF(E98="","",COUNTIFS($E$2:$E$201,E98,$K$2:$K$201,"Winner"))</f>
        <v/>
      </c>
      <c r="O98" s="14" t="str">
        <f aca="false">IF(E98="","",IF(N98&gt;=3,"Norma del canal",IF(N98&gt;=1,"Hipótesis con 1-2 victorias","Hipótesis")))</f>
        <v/>
      </c>
    </row>
    <row r="99" customFormat="false" ht="15" hidden="false" customHeight="false" outlineLevel="0" collapsed="false">
      <c r="A99" s="7"/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14" t="str">
        <f aca="false">IF(E99="","",COUNTIFS($E$2:$E$201,E99,$K$2:$K$201,"Winner"))</f>
        <v/>
      </c>
      <c r="O99" s="14" t="str">
        <f aca="false">IF(E99="","",IF(N99&gt;=3,"Norma del canal",IF(N99&gt;=1,"Hipótesis con 1-2 victorias","Hipótesis")))</f>
        <v/>
      </c>
    </row>
    <row r="100" customFormat="false" ht="15" hidden="false" customHeight="false" outlineLevel="0" collapsed="false">
      <c r="A100" s="7"/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14" t="str">
        <f aca="false">IF(E100="","",COUNTIFS($E$2:$E$201,E100,$K$2:$K$201,"Winner"))</f>
        <v/>
      </c>
      <c r="O100" s="14" t="str">
        <f aca="false">IF(E100="","",IF(N100&gt;=3,"Norma del canal",IF(N100&gt;=1,"Hipótesis con 1-2 victorias","Hipótesis")))</f>
        <v/>
      </c>
    </row>
    <row r="101" customFormat="false" ht="15" hidden="false" customHeight="false" outlineLevel="0" collapsed="false">
      <c r="A101" s="7"/>
      <c r="B101" s="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14" t="str">
        <f aca="false">IF(E101="","",COUNTIFS($E$2:$E$201,E101,$K$2:$K$201,"Winner"))</f>
        <v/>
      </c>
      <c r="O101" s="14" t="str">
        <f aca="false">IF(E101="","",IF(N101&gt;=3,"Norma del canal",IF(N101&gt;=1,"Hipótesis con 1-2 victorias","Hipótesis")))</f>
        <v/>
      </c>
    </row>
    <row r="102" customFormat="false" ht="15" hidden="false" customHeight="false" outlineLevel="0" collapsed="false">
      <c r="A102" s="7"/>
      <c r="B102" s="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14" t="str">
        <f aca="false">IF(E102="","",COUNTIFS($E$2:$E$201,E102,$K$2:$K$201,"Winner"))</f>
        <v/>
      </c>
      <c r="O102" s="14" t="str">
        <f aca="false">IF(E102="","",IF(N102&gt;=3,"Norma del canal",IF(N102&gt;=1,"Hipótesis con 1-2 victorias","Hipótesis")))</f>
        <v/>
      </c>
    </row>
    <row r="103" customFormat="false" ht="15" hidden="false" customHeight="false" outlineLevel="0" collapsed="false">
      <c r="A103" s="7"/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14" t="str">
        <f aca="false">IF(E103="","",COUNTIFS($E$2:$E$201,E103,$K$2:$K$201,"Winner"))</f>
        <v/>
      </c>
      <c r="O103" s="14" t="str">
        <f aca="false">IF(E103="","",IF(N103&gt;=3,"Norma del canal",IF(N103&gt;=1,"Hipótesis con 1-2 victorias","Hipótesis")))</f>
        <v/>
      </c>
    </row>
    <row r="104" customFormat="false" ht="15" hidden="false" customHeight="false" outlineLevel="0" collapsed="false">
      <c r="A104" s="7"/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14" t="str">
        <f aca="false">IF(E104="","",COUNTIFS($E$2:$E$201,E104,$K$2:$K$201,"Winner"))</f>
        <v/>
      </c>
      <c r="O104" s="14" t="str">
        <f aca="false">IF(E104="","",IF(N104&gt;=3,"Norma del canal",IF(N104&gt;=1,"Hipótesis con 1-2 victorias","Hipótesis")))</f>
        <v/>
      </c>
    </row>
    <row r="105" customFormat="false" ht="15" hidden="false" customHeight="false" outlineLevel="0" collapsed="false">
      <c r="A105" s="7"/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14" t="str">
        <f aca="false">IF(E105="","",COUNTIFS($E$2:$E$201,E105,$K$2:$K$201,"Winner"))</f>
        <v/>
      </c>
      <c r="O105" s="14" t="str">
        <f aca="false">IF(E105="","",IF(N105&gt;=3,"Norma del canal",IF(N105&gt;=1,"Hipótesis con 1-2 victorias","Hipótesis")))</f>
        <v/>
      </c>
    </row>
    <row r="106" customFormat="false" ht="15" hidden="false" customHeight="false" outlineLevel="0" collapsed="false">
      <c r="A106" s="7"/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14" t="str">
        <f aca="false">IF(E106="","",COUNTIFS($E$2:$E$201,E106,$K$2:$K$201,"Winner"))</f>
        <v/>
      </c>
      <c r="O106" s="14" t="str">
        <f aca="false">IF(E106="","",IF(N106&gt;=3,"Norma del canal",IF(N106&gt;=1,"Hipótesis con 1-2 victorias","Hipótesis")))</f>
        <v/>
      </c>
    </row>
    <row r="107" customFormat="false" ht="15" hidden="false" customHeight="false" outlineLevel="0" collapsed="false">
      <c r="A107" s="7"/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14" t="str">
        <f aca="false">IF(E107="","",COUNTIFS($E$2:$E$201,E107,$K$2:$K$201,"Winner"))</f>
        <v/>
      </c>
      <c r="O107" s="14" t="str">
        <f aca="false">IF(E107="","",IF(N107&gt;=3,"Norma del canal",IF(N107&gt;=1,"Hipótesis con 1-2 victorias","Hipótesis")))</f>
        <v/>
      </c>
    </row>
    <row r="108" customFormat="false" ht="15" hidden="false" customHeight="false" outlineLevel="0" collapsed="false">
      <c r="A108" s="7"/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14" t="str">
        <f aca="false">IF(E108="","",COUNTIFS($E$2:$E$201,E108,$K$2:$K$201,"Winner"))</f>
        <v/>
      </c>
      <c r="O108" s="14" t="str">
        <f aca="false">IF(E108="","",IF(N108&gt;=3,"Norma del canal",IF(N108&gt;=1,"Hipótesis con 1-2 victorias","Hipótesis")))</f>
        <v/>
      </c>
    </row>
    <row r="109" customFormat="false" ht="15" hidden="false" customHeight="false" outlineLevel="0" collapsed="false">
      <c r="A109" s="7"/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14" t="str">
        <f aca="false">IF(E109="","",COUNTIFS($E$2:$E$201,E109,$K$2:$K$201,"Winner"))</f>
        <v/>
      </c>
      <c r="O109" s="14" t="str">
        <f aca="false">IF(E109="","",IF(N109&gt;=3,"Norma del canal",IF(N109&gt;=1,"Hipótesis con 1-2 victorias","Hipótesis")))</f>
        <v/>
      </c>
    </row>
    <row r="110" customFormat="false" ht="15" hidden="false" customHeight="false" outlineLevel="0" collapsed="false">
      <c r="A110" s="7"/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14" t="str">
        <f aca="false">IF(E110="","",COUNTIFS($E$2:$E$201,E110,$K$2:$K$201,"Winner"))</f>
        <v/>
      </c>
      <c r="O110" s="14" t="str">
        <f aca="false">IF(E110="","",IF(N110&gt;=3,"Norma del canal",IF(N110&gt;=1,"Hipótesis con 1-2 victorias","Hipótesis")))</f>
        <v/>
      </c>
    </row>
    <row r="111" customFormat="false" ht="15" hidden="false" customHeight="false" outlineLevel="0" collapsed="false">
      <c r="A111" s="7"/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14" t="str">
        <f aca="false">IF(E111="","",COUNTIFS($E$2:$E$201,E111,$K$2:$K$201,"Winner"))</f>
        <v/>
      </c>
      <c r="O111" s="14" t="str">
        <f aca="false">IF(E111="","",IF(N111&gt;=3,"Norma del canal",IF(N111&gt;=1,"Hipótesis con 1-2 victorias","Hipótesis")))</f>
        <v/>
      </c>
    </row>
    <row r="112" customFormat="false" ht="15" hidden="false" customHeight="false" outlineLevel="0" collapsed="false">
      <c r="A112" s="7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14" t="str">
        <f aca="false">IF(E112="","",COUNTIFS($E$2:$E$201,E112,$K$2:$K$201,"Winner"))</f>
        <v/>
      </c>
      <c r="O112" s="14" t="str">
        <f aca="false">IF(E112="","",IF(N112&gt;=3,"Norma del canal",IF(N112&gt;=1,"Hipótesis con 1-2 victorias","Hipótesis")))</f>
        <v/>
      </c>
    </row>
    <row r="113" customFormat="false" ht="15" hidden="false" customHeight="false" outlineLevel="0" collapsed="false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14" t="str">
        <f aca="false">IF(E113="","",COUNTIFS($E$2:$E$201,E113,$K$2:$K$201,"Winner"))</f>
        <v/>
      </c>
      <c r="O113" s="14" t="str">
        <f aca="false">IF(E113="","",IF(N113&gt;=3,"Norma del canal",IF(N113&gt;=1,"Hipótesis con 1-2 victorias","Hipótesis")))</f>
        <v/>
      </c>
    </row>
    <row r="114" customFormat="false" ht="15" hidden="false" customHeight="false" outlineLevel="0" collapsed="false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14" t="str">
        <f aca="false">IF(E114="","",COUNTIFS($E$2:$E$201,E114,$K$2:$K$201,"Winner"))</f>
        <v/>
      </c>
      <c r="O114" s="14" t="str">
        <f aca="false">IF(E114="","",IF(N114&gt;=3,"Norma del canal",IF(N114&gt;=1,"Hipótesis con 1-2 victorias","Hipótesis")))</f>
        <v/>
      </c>
    </row>
    <row r="115" customFormat="false" ht="15" hidden="false" customHeight="false" outlineLevel="0" collapsed="false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14" t="str">
        <f aca="false">IF(E115="","",COUNTIFS($E$2:$E$201,E115,$K$2:$K$201,"Winner"))</f>
        <v/>
      </c>
      <c r="O115" s="14" t="str">
        <f aca="false">IF(E115="","",IF(N115&gt;=3,"Norma del canal",IF(N115&gt;=1,"Hipótesis con 1-2 victorias","Hipótesis")))</f>
        <v/>
      </c>
    </row>
    <row r="116" customFormat="false" ht="15" hidden="false" customHeight="false" outlineLevel="0" collapsed="false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14" t="str">
        <f aca="false">IF(E116="","",COUNTIFS($E$2:$E$201,E116,$K$2:$K$201,"Winner"))</f>
        <v/>
      </c>
      <c r="O116" s="14" t="str">
        <f aca="false">IF(E116="","",IF(N116&gt;=3,"Norma del canal",IF(N116&gt;=1,"Hipótesis con 1-2 victorias","Hipótesis")))</f>
        <v/>
      </c>
    </row>
    <row r="117" customFormat="false" ht="15" hidden="false" customHeight="false" outlineLevel="0" collapsed="false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14" t="str">
        <f aca="false">IF(E117="","",COUNTIFS($E$2:$E$201,E117,$K$2:$K$201,"Winner"))</f>
        <v/>
      </c>
      <c r="O117" s="14" t="str">
        <f aca="false">IF(E117="","",IF(N117&gt;=3,"Norma del canal",IF(N117&gt;=1,"Hipótesis con 1-2 victorias","Hipótesis")))</f>
        <v/>
      </c>
    </row>
    <row r="118" customFormat="false" ht="15" hidden="false" customHeight="false" outlineLevel="0" collapsed="false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14" t="str">
        <f aca="false">IF(E118="","",COUNTIFS($E$2:$E$201,E118,$K$2:$K$201,"Winner"))</f>
        <v/>
      </c>
      <c r="O118" s="14" t="str">
        <f aca="false">IF(E118="","",IF(N118&gt;=3,"Norma del canal",IF(N118&gt;=1,"Hipótesis con 1-2 victorias","Hipótesis")))</f>
        <v/>
      </c>
    </row>
    <row r="119" customFormat="false" ht="15" hidden="false" customHeight="false" outlineLevel="0" collapsed="false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14" t="str">
        <f aca="false">IF(E119="","",COUNTIFS($E$2:$E$201,E119,$K$2:$K$201,"Winner"))</f>
        <v/>
      </c>
      <c r="O119" s="14" t="str">
        <f aca="false">IF(E119="","",IF(N119&gt;=3,"Norma del canal",IF(N119&gt;=1,"Hipótesis con 1-2 victorias","Hipótesis")))</f>
        <v/>
      </c>
    </row>
    <row r="120" customFormat="false" ht="15" hidden="false" customHeight="false" outlineLevel="0" collapsed="false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14" t="str">
        <f aca="false">IF(E120="","",COUNTIFS($E$2:$E$201,E120,$K$2:$K$201,"Winner"))</f>
        <v/>
      </c>
      <c r="O120" s="14" t="str">
        <f aca="false">IF(E120="","",IF(N120&gt;=3,"Norma del canal",IF(N120&gt;=1,"Hipótesis con 1-2 victorias","Hipótesis")))</f>
        <v/>
      </c>
    </row>
    <row r="121" customFormat="false" ht="15" hidden="false" customHeight="false" outlineLevel="0" collapsed="false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14" t="str">
        <f aca="false">IF(E121="","",COUNTIFS($E$2:$E$201,E121,$K$2:$K$201,"Winner"))</f>
        <v/>
      </c>
      <c r="O121" s="14" t="str">
        <f aca="false">IF(E121="","",IF(N121&gt;=3,"Norma del canal",IF(N121&gt;=1,"Hipótesis con 1-2 victorias","Hipótesis")))</f>
        <v/>
      </c>
    </row>
    <row r="122" customFormat="false" ht="15" hidden="false" customHeight="false" outlineLevel="0" collapsed="false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14" t="str">
        <f aca="false">IF(E122="","",COUNTIFS($E$2:$E$201,E122,$K$2:$K$201,"Winner"))</f>
        <v/>
      </c>
      <c r="O122" s="14" t="str">
        <f aca="false">IF(E122="","",IF(N122&gt;=3,"Norma del canal",IF(N122&gt;=1,"Hipótesis con 1-2 victorias","Hipótesis")))</f>
        <v/>
      </c>
    </row>
    <row r="123" customFormat="false" ht="15" hidden="false" customHeight="false" outlineLevel="0" collapsed="false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14" t="str">
        <f aca="false">IF(E123="","",COUNTIFS($E$2:$E$201,E123,$K$2:$K$201,"Winner"))</f>
        <v/>
      </c>
      <c r="O123" s="14" t="str">
        <f aca="false">IF(E123="","",IF(N123&gt;=3,"Norma del canal",IF(N123&gt;=1,"Hipótesis con 1-2 victorias","Hipótesis")))</f>
        <v/>
      </c>
    </row>
    <row r="124" customFormat="false" ht="15" hidden="false" customHeight="false" outlineLevel="0" collapsed="false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14" t="str">
        <f aca="false">IF(E124="","",COUNTIFS($E$2:$E$201,E124,$K$2:$K$201,"Winner"))</f>
        <v/>
      </c>
      <c r="O124" s="14" t="str">
        <f aca="false">IF(E124="","",IF(N124&gt;=3,"Norma del canal",IF(N124&gt;=1,"Hipótesis con 1-2 victorias","Hipótesis")))</f>
        <v/>
      </c>
    </row>
    <row r="125" customFormat="false" ht="15" hidden="false" customHeight="false" outlineLevel="0" collapsed="false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14" t="str">
        <f aca="false">IF(E125="","",COUNTIFS($E$2:$E$201,E125,$K$2:$K$201,"Winner"))</f>
        <v/>
      </c>
      <c r="O125" s="14" t="str">
        <f aca="false">IF(E125="","",IF(N125&gt;=3,"Norma del canal",IF(N125&gt;=1,"Hipótesis con 1-2 victorias","Hipótesis")))</f>
        <v/>
      </c>
    </row>
    <row r="126" customFormat="false" ht="15" hidden="false" customHeight="false" outlineLevel="0" collapsed="false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14" t="str">
        <f aca="false">IF(E126="","",COUNTIFS($E$2:$E$201,E126,$K$2:$K$201,"Winner"))</f>
        <v/>
      </c>
      <c r="O126" s="14" t="str">
        <f aca="false">IF(E126="","",IF(N126&gt;=3,"Norma del canal",IF(N126&gt;=1,"Hipótesis con 1-2 victorias","Hipótesis")))</f>
        <v/>
      </c>
    </row>
    <row r="127" customFormat="false" ht="15" hidden="false" customHeight="false" outlineLevel="0" collapsed="false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14" t="str">
        <f aca="false">IF(E127="","",COUNTIFS($E$2:$E$201,E127,$K$2:$K$201,"Winner"))</f>
        <v/>
      </c>
      <c r="O127" s="14" t="str">
        <f aca="false">IF(E127="","",IF(N127&gt;=3,"Norma del canal",IF(N127&gt;=1,"Hipótesis con 1-2 victorias","Hipótesis")))</f>
        <v/>
      </c>
    </row>
    <row r="128" customFormat="false" ht="15" hidden="false" customHeight="false" outlineLevel="0" collapsed="false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14" t="str">
        <f aca="false">IF(E128="","",COUNTIFS($E$2:$E$201,E128,$K$2:$K$201,"Winner"))</f>
        <v/>
      </c>
      <c r="O128" s="14" t="str">
        <f aca="false">IF(E128="","",IF(N128&gt;=3,"Norma del canal",IF(N128&gt;=1,"Hipótesis con 1-2 victorias","Hipótesis")))</f>
        <v/>
      </c>
    </row>
    <row r="129" customFormat="false" ht="15" hidden="false" customHeight="false" outlineLevel="0" collapsed="false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14" t="str">
        <f aca="false">IF(E129="","",COUNTIFS($E$2:$E$201,E129,$K$2:$K$201,"Winner"))</f>
        <v/>
      </c>
      <c r="O129" s="14" t="str">
        <f aca="false">IF(E129="","",IF(N129&gt;=3,"Norma del canal",IF(N129&gt;=1,"Hipótesis con 1-2 victorias","Hipótesis")))</f>
        <v/>
      </c>
    </row>
    <row r="130" customFormat="false" ht="15" hidden="false" customHeight="false" outlineLevel="0" collapsed="false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14" t="str">
        <f aca="false">IF(E130="","",COUNTIFS($E$2:$E$201,E130,$K$2:$K$201,"Winner"))</f>
        <v/>
      </c>
      <c r="O130" s="14" t="str">
        <f aca="false">IF(E130="","",IF(N130&gt;=3,"Norma del canal",IF(N130&gt;=1,"Hipótesis con 1-2 victorias","Hipótesis")))</f>
        <v/>
      </c>
    </row>
    <row r="131" customFormat="false" ht="15" hidden="false" customHeight="false" outlineLevel="0" collapsed="false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14" t="str">
        <f aca="false">IF(E131="","",COUNTIFS($E$2:$E$201,E131,$K$2:$K$201,"Winner"))</f>
        <v/>
      </c>
      <c r="O131" s="14" t="str">
        <f aca="false">IF(E131="","",IF(N131&gt;=3,"Norma del canal",IF(N131&gt;=1,"Hipótesis con 1-2 victorias","Hipótesis")))</f>
        <v/>
      </c>
    </row>
    <row r="132" customFormat="false" ht="15" hidden="false" customHeight="false" outlineLevel="0" collapsed="false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14" t="str">
        <f aca="false">IF(E132="","",COUNTIFS($E$2:$E$201,E132,$K$2:$K$201,"Winner"))</f>
        <v/>
      </c>
      <c r="O132" s="14" t="str">
        <f aca="false">IF(E132="","",IF(N132&gt;=3,"Norma del canal",IF(N132&gt;=1,"Hipótesis con 1-2 victorias","Hipótesis")))</f>
        <v/>
      </c>
    </row>
    <row r="133" customFormat="false" ht="15" hidden="false" customHeight="false" outlineLevel="0" collapsed="false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14" t="str">
        <f aca="false">IF(E133="","",COUNTIFS($E$2:$E$201,E133,$K$2:$K$201,"Winner"))</f>
        <v/>
      </c>
      <c r="O133" s="14" t="str">
        <f aca="false">IF(E133="","",IF(N133&gt;=3,"Norma del canal",IF(N133&gt;=1,"Hipótesis con 1-2 victorias","Hipótesis")))</f>
        <v/>
      </c>
    </row>
    <row r="134" customFormat="false" ht="15" hidden="false" customHeight="false" outlineLevel="0" collapsed="false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14" t="str">
        <f aca="false">IF(E134="","",COUNTIFS($E$2:$E$201,E134,$K$2:$K$201,"Winner"))</f>
        <v/>
      </c>
      <c r="O134" s="14" t="str">
        <f aca="false">IF(E134="","",IF(N134&gt;=3,"Norma del canal",IF(N134&gt;=1,"Hipótesis con 1-2 victorias","Hipótesis")))</f>
        <v/>
      </c>
    </row>
    <row r="135" customFormat="false" ht="15" hidden="false" customHeight="false" outlineLevel="0" collapsed="false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14" t="str">
        <f aca="false">IF(E135="","",COUNTIFS($E$2:$E$201,E135,$K$2:$K$201,"Winner"))</f>
        <v/>
      </c>
      <c r="O135" s="14" t="str">
        <f aca="false">IF(E135="","",IF(N135&gt;=3,"Norma del canal",IF(N135&gt;=1,"Hipótesis con 1-2 victorias","Hipótesis")))</f>
        <v/>
      </c>
    </row>
    <row r="136" customFormat="false" ht="15" hidden="false" customHeight="false" outlineLevel="0" collapsed="false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14" t="str">
        <f aca="false">IF(E136="","",COUNTIFS($E$2:$E$201,E136,$K$2:$K$201,"Winner"))</f>
        <v/>
      </c>
      <c r="O136" s="14" t="str">
        <f aca="false">IF(E136="","",IF(N136&gt;=3,"Norma del canal",IF(N136&gt;=1,"Hipótesis con 1-2 victorias","Hipótesis")))</f>
        <v/>
      </c>
    </row>
    <row r="137" customFormat="false" ht="15" hidden="false" customHeight="false" outlineLevel="0" collapsed="false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14" t="str">
        <f aca="false">IF(E137="","",COUNTIFS($E$2:$E$201,E137,$K$2:$K$201,"Winner"))</f>
        <v/>
      </c>
      <c r="O137" s="14" t="str">
        <f aca="false">IF(E137="","",IF(N137&gt;=3,"Norma del canal",IF(N137&gt;=1,"Hipótesis con 1-2 victorias","Hipótesis")))</f>
        <v/>
      </c>
    </row>
    <row r="138" customFormat="false" ht="15" hidden="false" customHeight="false" outlineLevel="0" collapsed="false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14" t="str">
        <f aca="false">IF(E138="","",COUNTIFS($E$2:$E$201,E138,$K$2:$K$201,"Winner"))</f>
        <v/>
      </c>
      <c r="O138" s="14" t="str">
        <f aca="false">IF(E138="","",IF(N138&gt;=3,"Norma del canal",IF(N138&gt;=1,"Hipótesis con 1-2 victorias","Hipótesis")))</f>
        <v/>
      </c>
    </row>
    <row r="139" customFormat="false" ht="15" hidden="false" customHeight="false" outlineLevel="0" collapsed="false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14" t="str">
        <f aca="false">IF(E139="","",COUNTIFS($E$2:$E$201,E139,$K$2:$K$201,"Winner"))</f>
        <v/>
      </c>
      <c r="O139" s="14" t="str">
        <f aca="false">IF(E139="","",IF(N139&gt;=3,"Norma del canal",IF(N139&gt;=1,"Hipótesis con 1-2 victorias","Hipótesis")))</f>
        <v/>
      </c>
    </row>
    <row r="140" customFormat="false" ht="15" hidden="false" customHeight="false" outlineLevel="0" collapsed="false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14" t="str">
        <f aca="false">IF(E140="","",COUNTIFS($E$2:$E$201,E140,$K$2:$K$201,"Winner"))</f>
        <v/>
      </c>
      <c r="O140" s="14" t="str">
        <f aca="false">IF(E140="","",IF(N140&gt;=3,"Norma del canal",IF(N140&gt;=1,"Hipótesis con 1-2 victorias","Hipótesis")))</f>
        <v/>
      </c>
    </row>
    <row r="141" customFormat="false" ht="15" hidden="false" customHeight="false" outlineLevel="0" collapsed="false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14" t="str">
        <f aca="false">IF(E141="","",COUNTIFS($E$2:$E$201,E141,$K$2:$K$201,"Winner"))</f>
        <v/>
      </c>
      <c r="O141" s="14" t="str">
        <f aca="false">IF(E141="","",IF(N141&gt;=3,"Norma del canal",IF(N141&gt;=1,"Hipótesis con 1-2 victorias","Hipótesis")))</f>
        <v/>
      </c>
    </row>
    <row r="142" customFormat="false" ht="15" hidden="false" customHeight="false" outlineLevel="0" collapsed="false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14" t="str">
        <f aca="false">IF(E142="","",COUNTIFS($E$2:$E$201,E142,$K$2:$K$201,"Winner"))</f>
        <v/>
      </c>
      <c r="O142" s="14" t="str">
        <f aca="false">IF(E142="","",IF(N142&gt;=3,"Norma del canal",IF(N142&gt;=1,"Hipótesis con 1-2 victorias","Hipótesis")))</f>
        <v/>
      </c>
    </row>
    <row r="143" customFormat="false" ht="15" hidden="false" customHeight="false" outlineLevel="0" collapsed="false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14" t="str">
        <f aca="false">IF(E143="","",COUNTIFS($E$2:$E$201,E143,$K$2:$K$201,"Winner"))</f>
        <v/>
      </c>
      <c r="O143" s="14" t="str">
        <f aca="false">IF(E143="","",IF(N143&gt;=3,"Norma del canal",IF(N143&gt;=1,"Hipótesis con 1-2 victorias","Hipótesis")))</f>
        <v/>
      </c>
    </row>
    <row r="144" customFormat="false" ht="15" hidden="false" customHeight="false" outlineLevel="0" collapsed="false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14" t="str">
        <f aca="false">IF(E144="","",COUNTIFS($E$2:$E$201,E144,$K$2:$K$201,"Winner"))</f>
        <v/>
      </c>
      <c r="O144" s="14" t="str">
        <f aca="false">IF(E144="","",IF(N144&gt;=3,"Norma del canal",IF(N144&gt;=1,"Hipótesis con 1-2 victorias","Hipótesis")))</f>
        <v/>
      </c>
    </row>
    <row r="145" customFormat="false" ht="15" hidden="false" customHeight="false" outlineLevel="0" collapsed="false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14" t="str">
        <f aca="false">IF(E145="","",COUNTIFS($E$2:$E$201,E145,$K$2:$K$201,"Winner"))</f>
        <v/>
      </c>
      <c r="O145" s="14" t="str">
        <f aca="false">IF(E145="","",IF(N145&gt;=3,"Norma del canal",IF(N145&gt;=1,"Hipótesis con 1-2 victorias","Hipótesis")))</f>
        <v/>
      </c>
    </row>
    <row r="146" customFormat="false" ht="15" hidden="false" customHeight="false" outlineLevel="0" collapsed="false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14" t="str">
        <f aca="false">IF(E146="","",COUNTIFS($E$2:$E$201,E146,$K$2:$K$201,"Winner"))</f>
        <v/>
      </c>
      <c r="O146" s="14" t="str">
        <f aca="false">IF(E146="","",IF(N146&gt;=3,"Norma del canal",IF(N146&gt;=1,"Hipótesis con 1-2 victorias","Hipótesis")))</f>
        <v/>
      </c>
    </row>
    <row r="147" customFormat="false" ht="15" hidden="false" customHeight="false" outlineLevel="0" collapsed="false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14" t="str">
        <f aca="false">IF(E147="","",COUNTIFS($E$2:$E$201,E147,$K$2:$K$201,"Winner"))</f>
        <v/>
      </c>
      <c r="O147" s="14" t="str">
        <f aca="false">IF(E147="","",IF(N147&gt;=3,"Norma del canal",IF(N147&gt;=1,"Hipótesis con 1-2 victorias","Hipótesis")))</f>
        <v/>
      </c>
    </row>
    <row r="148" customFormat="false" ht="15" hidden="false" customHeight="false" outlineLevel="0" collapsed="false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14" t="str">
        <f aca="false">IF(E148="","",COUNTIFS($E$2:$E$201,E148,$K$2:$K$201,"Winner"))</f>
        <v/>
      </c>
      <c r="O148" s="14" t="str">
        <f aca="false">IF(E148="","",IF(N148&gt;=3,"Norma del canal",IF(N148&gt;=1,"Hipótesis con 1-2 victorias","Hipótesis")))</f>
        <v/>
      </c>
    </row>
    <row r="149" customFormat="false" ht="15" hidden="false" customHeight="false" outlineLevel="0" collapsed="false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14" t="str">
        <f aca="false">IF(E149="","",COUNTIFS($E$2:$E$201,E149,$K$2:$K$201,"Winner"))</f>
        <v/>
      </c>
      <c r="O149" s="14" t="str">
        <f aca="false">IF(E149="","",IF(N149&gt;=3,"Norma del canal",IF(N149&gt;=1,"Hipótesis con 1-2 victorias","Hipótesis")))</f>
        <v/>
      </c>
    </row>
    <row r="150" customFormat="false" ht="15" hidden="false" customHeight="false" outlineLevel="0" collapsed="false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14" t="str">
        <f aca="false">IF(E150="","",COUNTIFS($E$2:$E$201,E150,$K$2:$K$201,"Winner"))</f>
        <v/>
      </c>
      <c r="O150" s="14" t="str">
        <f aca="false">IF(E150="","",IF(N150&gt;=3,"Norma del canal",IF(N150&gt;=1,"Hipótesis con 1-2 victorias","Hipótesis")))</f>
        <v/>
      </c>
    </row>
    <row r="151" customFormat="false" ht="15" hidden="false" customHeight="false" outlineLevel="0" collapsed="false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14" t="str">
        <f aca="false">IF(E151="","",COUNTIFS($E$2:$E$201,E151,$K$2:$K$201,"Winner"))</f>
        <v/>
      </c>
      <c r="O151" s="14" t="str">
        <f aca="false">IF(E151="","",IF(N151&gt;=3,"Norma del canal",IF(N151&gt;=1,"Hipótesis con 1-2 victorias","Hipótesis")))</f>
        <v/>
      </c>
    </row>
    <row r="152" customFormat="false" ht="15" hidden="false" customHeight="false" outlineLevel="0" collapsed="false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14" t="str">
        <f aca="false">IF(E152="","",COUNTIFS($E$2:$E$201,E152,$K$2:$K$201,"Winner"))</f>
        <v/>
      </c>
      <c r="O152" s="14" t="str">
        <f aca="false">IF(E152="","",IF(N152&gt;=3,"Norma del canal",IF(N152&gt;=1,"Hipótesis con 1-2 victorias","Hipótesis")))</f>
        <v/>
      </c>
    </row>
    <row r="153" customFormat="false" ht="15" hidden="false" customHeight="false" outlineLevel="0" collapsed="false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14" t="str">
        <f aca="false">IF(E153="","",COUNTIFS($E$2:$E$201,E153,$K$2:$K$201,"Winner"))</f>
        <v/>
      </c>
      <c r="O153" s="14" t="str">
        <f aca="false">IF(E153="","",IF(N153&gt;=3,"Norma del canal",IF(N153&gt;=1,"Hipótesis con 1-2 victorias","Hipótesis")))</f>
        <v/>
      </c>
    </row>
    <row r="154" customFormat="false" ht="15" hidden="false" customHeight="false" outlineLevel="0" collapsed="false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14" t="str">
        <f aca="false">IF(E154="","",COUNTIFS($E$2:$E$201,E154,$K$2:$K$201,"Winner"))</f>
        <v/>
      </c>
      <c r="O154" s="14" t="str">
        <f aca="false">IF(E154="","",IF(N154&gt;=3,"Norma del canal",IF(N154&gt;=1,"Hipótesis con 1-2 victorias","Hipótesis")))</f>
        <v/>
      </c>
    </row>
    <row r="155" customFormat="false" ht="15" hidden="false" customHeight="false" outlineLevel="0" collapsed="false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14" t="str">
        <f aca="false">IF(E155="","",COUNTIFS($E$2:$E$201,E155,$K$2:$K$201,"Winner"))</f>
        <v/>
      </c>
      <c r="O155" s="14" t="str">
        <f aca="false">IF(E155="","",IF(N155&gt;=3,"Norma del canal",IF(N155&gt;=1,"Hipótesis con 1-2 victorias","Hipótesis")))</f>
        <v/>
      </c>
    </row>
    <row r="156" customFormat="false" ht="15" hidden="false" customHeight="false" outlineLevel="0" collapsed="false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14" t="str">
        <f aca="false">IF(E156="","",COUNTIFS($E$2:$E$201,E156,$K$2:$K$201,"Winner"))</f>
        <v/>
      </c>
      <c r="O156" s="14" t="str">
        <f aca="false">IF(E156="","",IF(N156&gt;=3,"Norma del canal",IF(N156&gt;=1,"Hipótesis con 1-2 victorias","Hipótesis")))</f>
        <v/>
      </c>
    </row>
    <row r="157" customFormat="false" ht="15" hidden="false" customHeight="false" outlineLevel="0" collapsed="false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14" t="str">
        <f aca="false">IF(E157="","",COUNTIFS($E$2:$E$201,E157,$K$2:$K$201,"Winner"))</f>
        <v/>
      </c>
      <c r="O157" s="14" t="str">
        <f aca="false">IF(E157="","",IF(N157&gt;=3,"Norma del canal",IF(N157&gt;=1,"Hipótesis con 1-2 victorias","Hipótesis")))</f>
        <v/>
      </c>
    </row>
    <row r="158" customFormat="false" ht="15" hidden="false" customHeight="false" outlineLevel="0" collapsed="false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14" t="str">
        <f aca="false">IF(E158="","",COUNTIFS($E$2:$E$201,E158,$K$2:$K$201,"Winner"))</f>
        <v/>
      </c>
      <c r="O158" s="14" t="str">
        <f aca="false">IF(E158="","",IF(N158&gt;=3,"Norma del canal",IF(N158&gt;=1,"Hipótesis con 1-2 victorias","Hipótesis")))</f>
        <v/>
      </c>
    </row>
    <row r="159" customFormat="false" ht="15" hidden="false" customHeight="false" outlineLevel="0" collapsed="false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14" t="str">
        <f aca="false">IF(E159="","",COUNTIFS($E$2:$E$201,E159,$K$2:$K$201,"Winner"))</f>
        <v/>
      </c>
      <c r="O159" s="14" t="str">
        <f aca="false">IF(E159="","",IF(N159&gt;=3,"Norma del canal",IF(N159&gt;=1,"Hipótesis con 1-2 victorias","Hipótesis")))</f>
        <v/>
      </c>
    </row>
    <row r="160" customFormat="false" ht="15" hidden="false" customHeight="false" outlineLevel="0" collapsed="false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14" t="str">
        <f aca="false">IF(E160="","",COUNTIFS($E$2:$E$201,E160,$K$2:$K$201,"Winner"))</f>
        <v/>
      </c>
      <c r="O160" s="14" t="str">
        <f aca="false">IF(E160="","",IF(N160&gt;=3,"Norma del canal",IF(N160&gt;=1,"Hipótesis con 1-2 victorias","Hipótesis")))</f>
        <v/>
      </c>
    </row>
    <row r="161" customFormat="false" ht="15" hidden="false" customHeight="false" outlineLevel="0" collapsed="false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14" t="str">
        <f aca="false">IF(E161="","",COUNTIFS($E$2:$E$201,E161,$K$2:$K$201,"Winner"))</f>
        <v/>
      </c>
      <c r="O161" s="14" t="str">
        <f aca="false">IF(E161="","",IF(N161&gt;=3,"Norma del canal",IF(N161&gt;=1,"Hipótesis con 1-2 victorias","Hipótesis")))</f>
        <v/>
      </c>
    </row>
    <row r="162" customFormat="false" ht="15" hidden="false" customHeight="false" outlineLevel="0" collapsed="false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14" t="str">
        <f aca="false">IF(E162="","",COUNTIFS($E$2:$E$201,E162,$K$2:$K$201,"Winner"))</f>
        <v/>
      </c>
      <c r="O162" s="14" t="str">
        <f aca="false">IF(E162="","",IF(N162&gt;=3,"Norma del canal",IF(N162&gt;=1,"Hipótesis con 1-2 victorias","Hipótesis")))</f>
        <v/>
      </c>
    </row>
    <row r="163" customFormat="false" ht="15" hidden="false" customHeight="false" outlineLevel="0" collapsed="false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14" t="str">
        <f aca="false">IF(E163="","",COUNTIFS($E$2:$E$201,E163,$K$2:$K$201,"Winner"))</f>
        <v/>
      </c>
      <c r="O163" s="14" t="str">
        <f aca="false">IF(E163="","",IF(N163&gt;=3,"Norma del canal",IF(N163&gt;=1,"Hipótesis con 1-2 victorias","Hipótesis")))</f>
        <v/>
      </c>
    </row>
    <row r="164" customFormat="false" ht="15" hidden="false" customHeight="false" outlineLevel="0" collapsed="false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14" t="str">
        <f aca="false">IF(E164="","",COUNTIFS($E$2:$E$201,E164,$K$2:$K$201,"Winner"))</f>
        <v/>
      </c>
      <c r="O164" s="14" t="str">
        <f aca="false">IF(E164="","",IF(N164&gt;=3,"Norma del canal",IF(N164&gt;=1,"Hipótesis con 1-2 victorias","Hipótesis")))</f>
        <v/>
      </c>
    </row>
    <row r="165" customFormat="false" ht="15" hidden="false" customHeight="false" outlineLevel="0" collapsed="false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14" t="str">
        <f aca="false">IF(E165="","",COUNTIFS($E$2:$E$201,E165,$K$2:$K$201,"Winner"))</f>
        <v/>
      </c>
      <c r="O165" s="14" t="str">
        <f aca="false">IF(E165="","",IF(N165&gt;=3,"Norma del canal",IF(N165&gt;=1,"Hipótesis con 1-2 victorias","Hipótesis")))</f>
        <v/>
      </c>
    </row>
    <row r="166" customFormat="false" ht="15" hidden="false" customHeight="false" outlineLevel="0" collapsed="false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14" t="str">
        <f aca="false">IF(E166="","",COUNTIFS($E$2:$E$201,E166,$K$2:$K$201,"Winner"))</f>
        <v/>
      </c>
      <c r="O166" s="14" t="str">
        <f aca="false">IF(E166="","",IF(N166&gt;=3,"Norma del canal",IF(N166&gt;=1,"Hipótesis con 1-2 victorias","Hipótesis")))</f>
        <v/>
      </c>
    </row>
    <row r="167" customFormat="false" ht="15" hidden="false" customHeight="false" outlineLevel="0" collapsed="false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14" t="str">
        <f aca="false">IF(E167="","",COUNTIFS($E$2:$E$201,E167,$K$2:$K$201,"Winner"))</f>
        <v/>
      </c>
      <c r="O167" s="14" t="str">
        <f aca="false">IF(E167="","",IF(N167&gt;=3,"Norma del canal",IF(N167&gt;=1,"Hipótesis con 1-2 victorias","Hipótesis")))</f>
        <v/>
      </c>
    </row>
    <row r="168" customFormat="false" ht="15" hidden="false" customHeight="false" outlineLevel="0" collapsed="false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14" t="str">
        <f aca="false">IF(E168="","",COUNTIFS($E$2:$E$201,E168,$K$2:$K$201,"Winner"))</f>
        <v/>
      </c>
      <c r="O168" s="14" t="str">
        <f aca="false">IF(E168="","",IF(N168&gt;=3,"Norma del canal",IF(N168&gt;=1,"Hipótesis con 1-2 victorias","Hipótesis")))</f>
        <v/>
      </c>
    </row>
    <row r="169" customFormat="false" ht="15" hidden="false" customHeight="false" outlineLevel="0" collapsed="false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14" t="str">
        <f aca="false">IF(E169="","",COUNTIFS($E$2:$E$201,E169,$K$2:$K$201,"Winner"))</f>
        <v/>
      </c>
      <c r="O169" s="14" t="str">
        <f aca="false">IF(E169="","",IF(N169&gt;=3,"Norma del canal",IF(N169&gt;=1,"Hipótesis con 1-2 victorias","Hipótesis")))</f>
        <v/>
      </c>
    </row>
    <row r="170" customFormat="false" ht="15" hidden="false" customHeight="false" outlineLevel="0" collapsed="false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14" t="str">
        <f aca="false">IF(E170="","",COUNTIFS($E$2:$E$201,E170,$K$2:$K$201,"Winner"))</f>
        <v/>
      </c>
      <c r="O170" s="14" t="str">
        <f aca="false">IF(E170="","",IF(N170&gt;=3,"Norma del canal",IF(N170&gt;=1,"Hipótesis con 1-2 victorias","Hipótesis")))</f>
        <v/>
      </c>
    </row>
    <row r="171" customFormat="false" ht="15" hidden="false" customHeight="false" outlineLevel="0" collapsed="false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14" t="str">
        <f aca="false">IF(E171="","",COUNTIFS($E$2:$E$201,E171,$K$2:$K$201,"Winner"))</f>
        <v/>
      </c>
      <c r="O171" s="14" t="str">
        <f aca="false">IF(E171="","",IF(N171&gt;=3,"Norma del canal",IF(N171&gt;=1,"Hipótesis con 1-2 victorias","Hipótesis")))</f>
        <v/>
      </c>
    </row>
    <row r="172" customFormat="false" ht="15" hidden="false" customHeight="false" outlineLevel="0" collapsed="false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14" t="str">
        <f aca="false">IF(E172="","",COUNTIFS($E$2:$E$201,E172,$K$2:$K$201,"Winner"))</f>
        <v/>
      </c>
      <c r="O172" s="14" t="str">
        <f aca="false">IF(E172="","",IF(N172&gt;=3,"Norma del canal",IF(N172&gt;=1,"Hipótesis con 1-2 victorias","Hipótesis")))</f>
        <v/>
      </c>
    </row>
    <row r="173" customFormat="false" ht="15" hidden="false" customHeight="false" outlineLevel="0" collapsed="false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4" t="str">
        <f aca="false">IF(E173="","",COUNTIFS($E$2:$E$201,E173,$K$2:$K$201,"Winner"))</f>
        <v/>
      </c>
      <c r="O173" s="14" t="str">
        <f aca="false">IF(E173="","",IF(N173&gt;=3,"Norma del canal",IF(N173&gt;=1,"Hipótesis con 1-2 victorias","Hipótesis")))</f>
        <v/>
      </c>
    </row>
    <row r="174" customFormat="false" ht="15" hidden="false" customHeight="false" outlineLevel="0" collapsed="false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14" t="str">
        <f aca="false">IF(E174="","",COUNTIFS($E$2:$E$201,E174,$K$2:$K$201,"Winner"))</f>
        <v/>
      </c>
      <c r="O174" s="14" t="str">
        <f aca="false">IF(E174="","",IF(N174&gt;=3,"Norma del canal",IF(N174&gt;=1,"Hipótesis con 1-2 victorias","Hipótesis")))</f>
        <v/>
      </c>
    </row>
    <row r="175" customFormat="false" ht="15" hidden="false" customHeight="false" outlineLevel="0" collapsed="false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14" t="str">
        <f aca="false">IF(E175="","",COUNTIFS($E$2:$E$201,E175,$K$2:$K$201,"Winner"))</f>
        <v/>
      </c>
      <c r="O175" s="14" t="str">
        <f aca="false">IF(E175="","",IF(N175&gt;=3,"Norma del canal",IF(N175&gt;=1,"Hipótesis con 1-2 victorias","Hipótesis")))</f>
        <v/>
      </c>
    </row>
    <row r="176" customFormat="false" ht="15" hidden="false" customHeight="false" outlineLevel="0" collapsed="false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14" t="str">
        <f aca="false">IF(E176="","",COUNTIFS($E$2:$E$201,E176,$K$2:$K$201,"Winner"))</f>
        <v/>
      </c>
      <c r="O176" s="14" t="str">
        <f aca="false">IF(E176="","",IF(N176&gt;=3,"Norma del canal",IF(N176&gt;=1,"Hipótesis con 1-2 victorias","Hipótesis")))</f>
        <v/>
      </c>
    </row>
    <row r="177" customFormat="false" ht="15" hidden="false" customHeight="false" outlineLevel="0" collapsed="false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14" t="str">
        <f aca="false">IF(E177="","",COUNTIFS($E$2:$E$201,E177,$K$2:$K$201,"Winner"))</f>
        <v/>
      </c>
      <c r="O177" s="14" t="str">
        <f aca="false">IF(E177="","",IF(N177&gt;=3,"Norma del canal",IF(N177&gt;=1,"Hipótesis con 1-2 victorias","Hipótesis")))</f>
        <v/>
      </c>
    </row>
    <row r="178" customFormat="false" ht="15" hidden="false" customHeight="false" outlineLevel="0" collapsed="false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14" t="str">
        <f aca="false">IF(E178="","",COUNTIFS($E$2:$E$201,E178,$K$2:$K$201,"Winner"))</f>
        <v/>
      </c>
      <c r="O178" s="14" t="str">
        <f aca="false">IF(E178="","",IF(N178&gt;=3,"Norma del canal",IF(N178&gt;=1,"Hipótesis con 1-2 victorias","Hipótesis")))</f>
        <v/>
      </c>
    </row>
    <row r="179" customFormat="false" ht="15" hidden="false" customHeight="false" outlineLevel="0" collapsed="false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14" t="str">
        <f aca="false">IF(E179="","",COUNTIFS($E$2:$E$201,E179,$K$2:$K$201,"Winner"))</f>
        <v/>
      </c>
      <c r="O179" s="14" t="str">
        <f aca="false">IF(E179="","",IF(N179&gt;=3,"Norma del canal",IF(N179&gt;=1,"Hipótesis con 1-2 victorias","Hipótesis")))</f>
        <v/>
      </c>
    </row>
    <row r="180" customFormat="false" ht="15" hidden="false" customHeight="false" outlineLevel="0" collapsed="false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14" t="str">
        <f aca="false">IF(E180="","",COUNTIFS($E$2:$E$201,E180,$K$2:$K$201,"Winner"))</f>
        <v/>
      </c>
      <c r="O180" s="14" t="str">
        <f aca="false">IF(E180="","",IF(N180&gt;=3,"Norma del canal",IF(N180&gt;=1,"Hipótesis con 1-2 victorias","Hipótesis")))</f>
        <v/>
      </c>
    </row>
    <row r="181" customFormat="false" ht="15" hidden="false" customHeight="false" outlineLevel="0" collapsed="false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14" t="str">
        <f aca="false">IF(E181="","",COUNTIFS($E$2:$E$201,E181,$K$2:$K$201,"Winner"))</f>
        <v/>
      </c>
      <c r="O181" s="14" t="str">
        <f aca="false">IF(E181="","",IF(N181&gt;=3,"Norma del canal",IF(N181&gt;=1,"Hipótesis con 1-2 victorias","Hipótesis")))</f>
        <v/>
      </c>
    </row>
    <row r="182" customFormat="false" ht="15" hidden="false" customHeight="false" outlineLevel="0" collapsed="false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14" t="str">
        <f aca="false">IF(E182="","",COUNTIFS($E$2:$E$201,E182,$K$2:$K$201,"Winner"))</f>
        <v/>
      </c>
      <c r="O182" s="14" t="str">
        <f aca="false">IF(E182="","",IF(N182&gt;=3,"Norma del canal",IF(N182&gt;=1,"Hipótesis con 1-2 victorias","Hipótesis")))</f>
        <v/>
      </c>
    </row>
    <row r="183" customFormat="false" ht="15" hidden="false" customHeight="false" outlineLevel="0" collapsed="false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14" t="str">
        <f aca="false">IF(E183="","",COUNTIFS($E$2:$E$201,E183,$K$2:$K$201,"Winner"))</f>
        <v/>
      </c>
      <c r="O183" s="14" t="str">
        <f aca="false">IF(E183="","",IF(N183&gt;=3,"Norma del canal",IF(N183&gt;=1,"Hipótesis con 1-2 victorias","Hipótesis")))</f>
        <v/>
      </c>
    </row>
    <row r="184" customFormat="false" ht="15" hidden="false" customHeight="false" outlineLevel="0" collapsed="false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14" t="str">
        <f aca="false">IF(E184="","",COUNTIFS($E$2:$E$201,E184,$K$2:$K$201,"Winner"))</f>
        <v/>
      </c>
      <c r="O184" s="14" t="str">
        <f aca="false">IF(E184="","",IF(N184&gt;=3,"Norma del canal",IF(N184&gt;=1,"Hipótesis con 1-2 victorias","Hipótesis")))</f>
        <v/>
      </c>
    </row>
    <row r="185" customFormat="false" ht="15" hidden="false" customHeight="false" outlineLevel="0" collapsed="false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14" t="str">
        <f aca="false">IF(E185="","",COUNTIFS($E$2:$E$201,E185,$K$2:$K$201,"Winner"))</f>
        <v/>
      </c>
      <c r="O185" s="14" t="str">
        <f aca="false">IF(E185="","",IF(N185&gt;=3,"Norma del canal",IF(N185&gt;=1,"Hipótesis con 1-2 victorias","Hipótesis")))</f>
        <v/>
      </c>
    </row>
    <row r="186" customFormat="false" ht="15" hidden="false" customHeight="false" outlineLevel="0" collapsed="false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14" t="str">
        <f aca="false">IF(E186="","",COUNTIFS($E$2:$E$201,E186,$K$2:$K$201,"Winner"))</f>
        <v/>
      </c>
      <c r="O186" s="14" t="str">
        <f aca="false">IF(E186="","",IF(N186&gt;=3,"Norma del canal",IF(N186&gt;=1,"Hipótesis con 1-2 victorias","Hipótesis")))</f>
        <v/>
      </c>
    </row>
    <row r="187" customFormat="false" ht="15" hidden="false" customHeight="false" outlineLevel="0" collapsed="false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14" t="str">
        <f aca="false">IF(E187="","",COUNTIFS($E$2:$E$201,E187,$K$2:$K$201,"Winner"))</f>
        <v/>
      </c>
      <c r="O187" s="14" t="str">
        <f aca="false">IF(E187="","",IF(N187&gt;=3,"Norma del canal",IF(N187&gt;=1,"Hipótesis con 1-2 victorias","Hipótesis")))</f>
        <v/>
      </c>
    </row>
    <row r="188" customFormat="false" ht="15" hidden="false" customHeight="false" outlineLevel="0" collapsed="false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14" t="str">
        <f aca="false">IF(E188="","",COUNTIFS($E$2:$E$201,E188,$K$2:$K$201,"Winner"))</f>
        <v/>
      </c>
      <c r="O188" s="14" t="str">
        <f aca="false">IF(E188="","",IF(N188&gt;=3,"Norma del canal",IF(N188&gt;=1,"Hipótesis con 1-2 victorias","Hipótesis")))</f>
        <v/>
      </c>
    </row>
    <row r="189" customFormat="false" ht="15" hidden="false" customHeight="false" outlineLevel="0" collapsed="false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14" t="str">
        <f aca="false">IF(E189="","",COUNTIFS($E$2:$E$201,E189,$K$2:$K$201,"Winner"))</f>
        <v/>
      </c>
      <c r="O189" s="14" t="str">
        <f aca="false">IF(E189="","",IF(N189&gt;=3,"Norma del canal",IF(N189&gt;=1,"Hipótesis con 1-2 victorias","Hipótesis")))</f>
        <v/>
      </c>
    </row>
    <row r="190" customFormat="false" ht="15" hidden="false" customHeight="false" outlineLevel="0" collapsed="false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14" t="str">
        <f aca="false">IF(E190="","",COUNTIFS($E$2:$E$201,E190,$K$2:$K$201,"Winner"))</f>
        <v/>
      </c>
      <c r="O190" s="14" t="str">
        <f aca="false">IF(E190="","",IF(N190&gt;=3,"Norma del canal",IF(N190&gt;=1,"Hipótesis con 1-2 victorias","Hipótesis")))</f>
        <v/>
      </c>
    </row>
    <row r="191" customFormat="false" ht="15" hidden="false" customHeight="false" outlineLevel="0" collapsed="false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14" t="str">
        <f aca="false">IF(E191="","",COUNTIFS($E$2:$E$201,E191,$K$2:$K$201,"Winner"))</f>
        <v/>
      </c>
      <c r="O191" s="14" t="str">
        <f aca="false">IF(E191="","",IF(N191&gt;=3,"Norma del canal",IF(N191&gt;=1,"Hipótesis con 1-2 victorias","Hipótesis")))</f>
        <v/>
      </c>
    </row>
    <row r="192" customFormat="false" ht="15" hidden="false" customHeight="false" outlineLevel="0" collapsed="false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14" t="str">
        <f aca="false">IF(E192="","",COUNTIFS($E$2:$E$201,E192,$K$2:$K$201,"Winner"))</f>
        <v/>
      </c>
      <c r="O192" s="14" t="str">
        <f aca="false">IF(E192="","",IF(N192&gt;=3,"Norma del canal",IF(N192&gt;=1,"Hipótesis con 1-2 victorias","Hipótesis")))</f>
        <v/>
      </c>
    </row>
    <row r="193" customFormat="false" ht="15" hidden="false" customHeight="false" outlineLevel="0" collapsed="false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14" t="str">
        <f aca="false">IF(E193="","",COUNTIFS($E$2:$E$201,E193,$K$2:$K$201,"Winner"))</f>
        <v/>
      </c>
      <c r="O193" s="14" t="str">
        <f aca="false">IF(E193="","",IF(N193&gt;=3,"Norma del canal",IF(N193&gt;=1,"Hipótesis con 1-2 victorias","Hipótesis")))</f>
        <v/>
      </c>
    </row>
    <row r="194" customFormat="false" ht="15" hidden="false" customHeight="false" outlineLevel="0" collapsed="false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14" t="str">
        <f aca="false">IF(E194="","",COUNTIFS($E$2:$E$201,E194,$K$2:$K$201,"Winner"))</f>
        <v/>
      </c>
      <c r="O194" s="14" t="str">
        <f aca="false">IF(E194="","",IF(N194&gt;=3,"Norma del canal",IF(N194&gt;=1,"Hipótesis con 1-2 victorias","Hipótesis")))</f>
        <v/>
      </c>
    </row>
    <row r="195" customFormat="false" ht="15" hidden="false" customHeight="false" outlineLevel="0" collapsed="false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14" t="str">
        <f aca="false">IF(E195="","",COUNTIFS($E$2:$E$201,E195,$K$2:$K$201,"Winner"))</f>
        <v/>
      </c>
      <c r="O195" s="14" t="str">
        <f aca="false">IF(E195="","",IF(N195&gt;=3,"Norma del canal",IF(N195&gt;=1,"Hipótesis con 1-2 victorias","Hipótesis")))</f>
        <v/>
      </c>
    </row>
    <row r="196" customFormat="false" ht="15" hidden="false" customHeight="false" outlineLevel="0" collapsed="false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14" t="str">
        <f aca="false">IF(E196="","",COUNTIFS($E$2:$E$201,E196,$K$2:$K$201,"Winner"))</f>
        <v/>
      </c>
      <c r="O196" s="14" t="str">
        <f aca="false">IF(E196="","",IF(N196&gt;=3,"Norma del canal",IF(N196&gt;=1,"Hipótesis con 1-2 victorias","Hipótesis")))</f>
        <v/>
      </c>
    </row>
    <row r="197" customFormat="false" ht="15" hidden="false" customHeight="false" outlineLevel="0" collapsed="false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14" t="str">
        <f aca="false">IF(E197="","",COUNTIFS($E$2:$E$201,E197,$K$2:$K$201,"Winner"))</f>
        <v/>
      </c>
      <c r="O197" s="14" t="str">
        <f aca="false">IF(E197="","",IF(N197&gt;=3,"Norma del canal",IF(N197&gt;=1,"Hipótesis con 1-2 victorias","Hipótesis")))</f>
        <v/>
      </c>
    </row>
    <row r="198" customFormat="false" ht="15" hidden="false" customHeight="false" outlineLevel="0" collapsed="false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14" t="str">
        <f aca="false">IF(E198="","",COUNTIFS($E$2:$E$201,E198,$K$2:$K$201,"Winner"))</f>
        <v/>
      </c>
      <c r="O198" s="14" t="str">
        <f aca="false">IF(E198="","",IF(N198&gt;=3,"Norma del canal",IF(N198&gt;=1,"Hipótesis con 1-2 victorias","Hipótesis")))</f>
        <v/>
      </c>
    </row>
    <row r="199" customFormat="false" ht="15" hidden="false" customHeight="false" outlineLevel="0" collapsed="false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14" t="str">
        <f aca="false">IF(E199="","",COUNTIFS($E$2:$E$201,E199,$K$2:$K$201,"Winner"))</f>
        <v/>
      </c>
      <c r="O199" s="14" t="str">
        <f aca="false">IF(E199="","",IF(N199&gt;=3,"Norma del canal",IF(N199&gt;=1,"Hipótesis con 1-2 victorias","Hipótesis")))</f>
        <v/>
      </c>
    </row>
    <row r="200" customFormat="false" ht="15" hidden="false" customHeight="false" outlineLevel="0" collapsed="false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14" t="str">
        <f aca="false">IF(E200="","",COUNTIFS($E$2:$E$201,E200,$K$2:$K$201,"Winner"))</f>
        <v/>
      </c>
      <c r="O200" s="14" t="str">
        <f aca="false">IF(E200="","",IF(N200&gt;=3,"Norma del canal",IF(N200&gt;=1,"Hipótesis con 1-2 victorias","Hipótesis")))</f>
        <v/>
      </c>
    </row>
    <row r="201" customFormat="false" ht="15" hidden="false" customHeight="false" outlineLevel="0" collapsed="false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14" t="str">
        <f aca="false">IF(E201="","",COUNTIFS($E$2:$E$201,E201,$K$2:$K$201,"Winner"))</f>
        <v/>
      </c>
      <c r="O201" s="14" t="str">
        <f aca="false">IF(E201="","",IF(N201&gt;=3,"Norma del canal",IF(N201&gt;=1,"Hipótesis con 1-2 victorias","Hipótesis")))</f>
        <v/>
      </c>
    </row>
  </sheetData>
  <dataValidations count="1">
    <dataValidation allowBlank="true" errorStyle="stop" operator="between" showDropDown="false" showErrorMessage="false" showInputMessage="false" sqref="K2:K201" type="list">
      <formula1>"Winner,Performed Same,Inconclusive,Sin resultado"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6" min="3" style="0" width="1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/>
      <c r="B1" s="27" t="s">
        <v>240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21" t="s">
        <v>241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20" t="s">
        <v>242</v>
      </c>
      <c r="C4" s="1"/>
      <c r="D4" s="1"/>
      <c r="E4" s="1"/>
      <c r="F4" s="1"/>
      <c r="G4" s="1"/>
    </row>
    <row r="5" customFormat="false" ht="15" hidden="false" customHeight="false" outlineLevel="0" collapsed="false">
      <c r="A5" s="1"/>
      <c r="B5" s="14" t="s">
        <v>243</v>
      </c>
      <c r="C5" s="28" t="n">
        <v>1.5</v>
      </c>
      <c r="D5" s="1"/>
      <c r="E5" s="1"/>
      <c r="F5" s="1"/>
      <c r="G5" s="29" t="s">
        <v>244</v>
      </c>
    </row>
    <row r="6" customFormat="false" ht="15" hidden="false" customHeight="false" outlineLevel="0" collapsed="false">
      <c r="A6" s="1"/>
      <c r="B6" s="14" t="s">
        <v>245</v>
      </c>
      <c r="C6" s="28" t="n">
        <v>0.67</v>
      </c>
      <c r="D6" s="1"/>
      <c r="E6" s="1"/>
      <c r="F6" s="1"/>
      <c r="G6" s="29" t="s">
        <v>246</v>
      </c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</row>
    <row r="8" customFormat="false" ht="15" hidden="false" customHeight="false" outlineLevel="0" collapsed="false">
      <c r="A8" s="1"/>
      <c r="B8" s="20" t="s">
        <v>247</v>
      </c>
      <c r="C8" s="1"/>
      <c r="D8" s="1"/>
      <c r="E8" s="1"/>
      <c r="F8" s="1"/>
      <c r="G8" s="1"/>
    </row>
    <row r="9" customFormat="false" ht="15" hidden="false" customHeight="false" outlineLevel="0" collapsed="false">
      <c r="A9" s="1"/>
      <c r="B9" s="1"/>
      <c r="C9" s="20" t="s">
        <v>248</v>
      </c>
      <c r="D9" s="20" t="s">
        <v>249</v>
      </c>
      <c r="E9" s="1"/>
      <c r="F9" s="1"/>
      <c r="G9" s="1"/>
    </row>
    <row r="10" customFormat="false" ht="15" hidden="false" customHeight="false" outlineLevel="0" collapsed="false">
      <c r="A10" s="1"/>
      <c r="B10" s="14" t="s">
        <v>250</v>
      </c>
      <c r="C10" s="30" t="n">
        <f aca="false">COUNTIFS(Videos!$D$2:$D$401,"Largo",Videos!$J$2:$J$401,"&lt;&gt;")</f>
        <v>0</v>
      </c>
      <c r="D10" s="30" t="n">
        <f aca="false">COUNTIFS(Videos!$D$2:$D$401,"Short",Videos!$J$2:$J$401,"&lt;&gt;")</f>
        <v>0</v>
      </c>
      <c r="E10" s="1"/>
      <c r="F10" s="1"/>
      <c r="G10" s="1"/>
    </row>
    <row r="11" customFormat="false" ht="15" hidden="false" customHeight="false" outlineLevel="0" collapsed="false">
      <c r="A11" s="1"/>
      <c r="B11" s="14" t="s">
        <v>251</v>
      </c>
      <c r="C11" s="31" t="n">
        <f aca="false">SUMIFS(Videos!$N$2:$N$401,Videos!$D$2:$D$401,"Largo")</f>
        <v>0</v>
      </c>
      <c r="D11" s="31" t="n">
        <f aca="false">SUMIFS(Videos!$N$2:$N$401,Videos!$D$2:$D$401,"Short")</f>
        <v>0</v>
      </c>
      <c r="E11" s="1"/>
      <c r="F11" s="1"/>
      <c r="G11" s="1"/>
    </row>
    <row r="12" customFormat="false" ht="15" hidden="false" customHeight="false" outlineLevel="0" collapsed="false">
      <c r="A12" s="1"/>
      <c r="B12" s="14" t="s">
        <v>252</v>
      </c>
      <c r="C12" s="32" t="n">
        <f aca="false">SUMIFS(Videos!$T$2:$T$401,Videos!$D$2:$D$401,"Largo")</f>
        <v>0</v>
      </c>
      <c r="D12" s="32" t="n">
        <f aca="false">SUMIFS(Videos!$T$2:$T$401,Videos!$D$2:$D$401,"Short")</f>
        <v>0</v>
      </c>
      <c r="E12" s="1"/>
      <c r="F12" s="1"/>
      <c r="G12" s="1"/>
    </row>
    <row r="13" customFormat="false" ht="15" hidden="false" customHeight="false" outlineLevel="0" collapsed="false">
      <c r="A13" s="1"/>
      <c r="B13" s="14" t="s">
        <v>253</v>
      </c>
      <c r="C13" s="31" t="n">
        <f aca="false">SUMIFS(Videos!$U$2:$U$401,Videos!$D$2:$D$401,"Largo")</f>
        <v>0</v>
      </c>
      <c r="D13" s="31" t="n">
        <f aca="false">SUMIFS(Videos!$U$2:$U$401,Videos!$D$2:$D$401,"Short")</f>
        <v>0</v>
      </c>
      <c r="E13" s="1"/>
      <c r="F13" s="1"/>
      <c r="G13" s="1"/>
    </row>
    <row r="14" customFormat="false" ht="15" hidden="false" customHeight="false" outlineLevel="0" collapsed="false">
      <c r="A14" s="1"/>
      <c r="B14" s="14" t="s">
        <v>254</v>
      </c>
      <c r="C14" s="33" t="str">
        <f aca="false">IFERROR(AVERAGEIFS(Videos!$AA$2:$AA$401,Videos!$D$2:$D$401,"Largo"),"")</f>
        <v/>
      </c>
      <c r="D14" s="33" t="str">
        <f aca="false">IFERROR(AVERAGEIFS(Videos!$AA$2:$AA$401,Videos!$D$2:$D$401,"Short"),"")</f>
        <v/>
      </c>
      <c r="E14" s="1"/>
      <c r="F14" s="1"/>
      <c r="G14" s="1"/>
    </row>
    <row r="15" customFormat="false" ht="15" hidden="false" customHeight="false" outlineLevel="0" collapsed="false">
      <c r="A15" s="1"/>
      <c r="B15" s="14" t="s">
        <v>255</v>
      </c>
      <c r="C15" s="34" t="n">
        <f aca="false">SUMIFS(Videos!$Z$2:$Z$401,Videos!$D$2:$D$401,"Largo")</f>
        <v>0</v>
      </c>
      <c r="D15" s="34" t="n">
        <f aca="false">SUMIFS(Videos!$Z$2:$Z$401,Videos!$D$2:$D$401,"Short")</f>
        <v>0</v>
      </c>
      <c r="E15" s="1"/>
      <c r="F15" s="1"/>
      <c r="G15" s="1"/>
    </row>
    <row r="16" customFormat="false" ht="15" hidden="false" customHeight="false" outlineLevel="0" collapsed="false">
      <c r="A16" s="1"/>
      <c r="B16" s="14" t="s">
        <v>256</v>
      </c>
      <c r="C16" s="30" t="n">
        <f aca="false">COUNTIFS(Videos!$D$2:$D$401,"Largo",Videos!$AL$2:$AL$401,"Ganador*")</f>
        <v>0</v>
      </c>
      <c r="D16" s="30" t="n">
        <f aca="false">COUNTIFS(Videos!$D$2:$D$401,"Short",Videos!$AL$2:$AL$401,"Ganador*")</f>
        <v>0</v>
      </c>
      <c r="E16" s="1"/>
      <c r="F16" s="1"/>
      <c r="G16" s="1"/>
    </row>
    <row r="17" customFormat="false" ht="15" hidden="false" customHeight="false" outlineLevel="0" collapsed="false">
      <c r="A17" s="1"/>
      <c r="B17" s="14" t="s">
        <v>257</v>
      </c>
      <c r="C17" s="30" t="n">
        <f aca="false">COUNTIFS(Videos!$D$2:$D$401,"Largo",Videos!$AL$2:$AL$401,"Perdedor*")</f>
        <v>0</v>
      </c>
      <c r="D17" s="30" t="n">
        <f aca="false">COUNTIFS(Videos!$D$2:$D$401,"Short",Videos!$AL$2:$AL$401,"Perdedor*")</f>
        <v>0</v>
      </c>
      <c r="E17" s="1"/>
      <c r="F17" s="1"/>
      <c r="G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15" hidden="false" customHeight="false" outlineLevel="0" collapsed="false">
      <c r="A19" s="1"/>
      <c r="B19" s="20" t="s">
        <v>258</v>
      </c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1"/>
      <c r="C20" s="20" t="s">
        <v>248</v>
      </c>
      <c r="D20" s="20" t="s">
        <v>249</v>
      </c>
      <c r="E20" s="1"/>
      <c r="F20" s="1"/>
      <c r="G20" s="1"/>
    </row>
    <row r="21" customFormat="false" ht="15" hidden="false" customHeight="false" outlineLevel="0" collapsed="false">
      <c r="A21" s="1"/>
      <c r="B21" s="14" t="s">
        <v>259</v>
      </c>
      <c r="C21" s="35" t="str">
        <f aca="false" t="array" ref="C21:C21">IFERROR(MEDIAN(IF((Videos!$D$2:$D$401="Largo")*ISNUMBER(Videos!$P$2:$P$401),Videos!$P$2:$P$401)),"")</f>
        <v/>
      </c>
      <c r="D21" s="35" t="str">
        <f aca="false" t="array" ref="D21:D21">IFERROR(MEDIAN(IF((Videos!$D$2:$D$401="Short")*ISNUMBER(Videos!$P$2:$P$401),Videos!$P$2:$P$401)),"")</f>
        <v/>
      </c>
      <c r="E21" s="1"/>
      <c r="F21" s="1"/>
      <c r="G21" s="1"/>
    </row>
    <row r="22" customFormat="false" ht="15" hidden="false" customHeight="false" outlineLevel="0" collapsed="false">
      <c r="A22" s="1"/>
      <c r="B22" s="14" t="s">
        <v>260</v>
      </c>
      <c r="C22" s="33" t="str">
        <f aca="false" t="array" ref="C22:C22">IFERROR(MEDIAN(IF((Videos!$D$2:$D$401="Largo")*ISNUMBER(Videos!$Q$2:$Q$401),Videos!$Q$2:$Q$401)),"")</f>
        <v/>
      </c>
      <c r="D22" s="33" t="str">
        <f aca="false" t="array" ref="D22:D22">IFERROR(MEDIAN(IF((Videos!$D$2:$D$401="Short")*ISNUMBER(Videos!$Q$2:$Q$401),Videos!$Q$2:$Q$401)),"")</f>
        <v/>
      </c>
      <c r="E22" s="1"/>
      <c r="F22" s="1"/>
      <c r="G22" s="1"/>
    </row>
    <row r="23" customFormat="false" ht="15" hidden="false" customHeight="false" outlineLevel="0" collapsed="false">
      <c r="A23" s="1"/>
      <c r="B23" s="14" t="s">
        <v>261</v>
      </c>
      <c r="C23" s="35" t="str">
        <f aca="false" t="array" ref="C23:C23">IFERROR(MEDIAN(IF((Videos!$D$2:$D$401="Largo")*ISNUMBER(Videos!$R$2:$R$401),Videos!$R$2:$R$401)),"")</f>
        <v/>
      </c>
      <c r="D23" s="35" t="str">
        <f aca="false" t="array" ref="D23:D23">IFERROR(MEDIAN(IF((Videos!$D$2:$D$401="Short")*ISNUMBER(Videos!$R$2:$R$401),Videos!$R$2:$R$401)),"")</f>
        <v/>
      </c>
      <c r="E23" s="1"/>
      <c r="F23" s="1"/>
      <c r="G23" s="1"/>
    </row>
    <row r="24" customFormat="false" ht="15" hidden="false" customHeight="false" outlineLevel="0" collapsed="false">
      <c r="A24" s="1"/>
      <c r="B24" s="14" t="s">
        <v>262</v>
      </c>
      <c r="C24" s="35" t="str">
        <f aca="false" t="array" ref="C24:C24">IFERROR(MEDIAN(IF((Videos!$D$2:$D$401="Largo")*ISNUMBER(Videos!$S$2:$S$401),Videos!$S$2:$S$401)),"")</f>
        <v/>
      </c>
      <c r="D24" s="35" t="str">
        <f aca="false" t="array" ref="D24:D24">IFERROR(MEDIAN(IF((Videos!$D$2:$D$401="Short")*ISNUMBER(Videos!$S$2:$S$401),Videos!$S$2:$S$401)),"")</f>
        <v/>
      </c>
      <c r="E24" s="1"/>
      <c r="F24" s="1"/>
      <c r="G24" s="1"/>
    </row>
    <row r="25" customFormat="false" ht="15" hidden="false" customHeight="false" outlineLevel="0" collapsed="false">
      <c r="A25" s="1"/>
      <c r="B25" s="14" t="s">
        <v>263</v>
      </c>
      <c r="C25" s="31" t="str">
        <f aca="false" t="array" ref="C25:C25">IFERROR(MEDIAN(IF((Videos!$D$2:$D$401="Largo")*ISNUMBER(Videos!$N$2:$N$401),Videos!$N$2:$N$401)),"")</f>
        <v/>
      </c>
      <c r="D25" s="31" t="str">
        <f aca="false" t="array" ref="D25:D25">IFERROR(MEDIAN(IF((Videos!$D$2:$D$401="Short")*ISNUMBER(Videos!$N$2:$N$401),Videos!$N$2:$N$401)),"")</f>
        <v/>
      </c>
      <c r="E25" s="1"/>
      <c r="F25" s="1"/>
      <c r="G25" s="1"/>
    </row>
    <row r="26" customFormat="false" ht="15" hidden="false" customHeight="false" outlineLevel="0" collapsed="false">
      <c r="A26" s="1"/>
      <c r="B26" s="14" t="s">
        <v>264</v>
      </c>
      <c r="C26" s="36" t="str">
        <f aca="false" t="array" ref="C26:C26">IFERROR(MEDIAN(IF((Videos!$D$2:$D$401="Largo")*ISNUMBER(Videos!$AJ$2:$AJ$401),Videos!$AJ$2:$AJ$401)),"")</f>
        <v/>
      </c>
      <c r="D26" s="36" t="str">
        <f aca="false" t="array" ref="D26:D26">IFERROR(MEDIAN(IF((Videos!$D$2:$D$401="Short")*ISNUMBER(Videos!$AJ$2:$AJ$401),Videos!$AJ$2:$AJ$401)),"")</f>
        <v/>
      </c>
      <c r="E26" s="1"/>
      <c r="F26" s="1"/>
      <c r="G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20" t="s">
        <v>265</v>
      </c>
      <c r="C28" s="1"/>
      <c r="D28" s="1"/>
      <c r="E28" s="1"/>
      <c r="F28" s="1"/>
      <c r="G28" s="1"/>
    </row>
    <row r="29" customFormat="false" ht="26.85" hidden="false" customHeight="false" outlineLevel="0" collapsed="false">
      <c r="A29" s="1"/>
      <c r="B29" s="1"/>
      <c r="C29" s="4" t="s">
        <v>266</v>
      </c>
      <c r="D29" s="4" t="s">
        <v>267</v>
      </c>
      <c r="E29" s="4" t="s">
        <v>268</v>
      </c>
      <c r="F29" s="4" t="s">
        <v>269</v>
      </c>
      <c r="G29" s="1"/>
    </row>
    <row r="30" customFormat="false" ht="15" hidden="false" customHeight="false" outlineLevel="0" collapsed="false">
      <c r="A30" s="1"/>
      <c r="B30" s="14" t="s">
        <v>270</v>
      </c>
      <c r="C30" s="37" t="n">
        <f aca="false">SUMPRODUCT((Videos!$D$2:$D$401="Largo")*(Videos!$E$2:$E$401="P1")*ISNUMBER(Videos!$N$2:$N$401))</f>
        <v>0</v>
      </c>
      <c r="D30" s="36" t="str">
        <f aca="false" t="array" ref="D30:D30">IFERROR(MEDIAN(IF((Videos!$D$2:$D$401="Largo")*(Videos!$E$2:$E$401="P1")*ISNUMBER(Videos!$AJ$2:$AJ$401),Videos!$AJ$2:$AJ$401)),"")</f>
        <v/>
      </c>
      <c r="E30" s="31" t="str">
        <f aca="false" t="array" ref="E30:E30">IFERROR(MEDIAN(IF((Videos!$D$2:$D$401="Largo")*(Videos!$E$2:$E$401="P1")*ISNUMBER(Videos!$N$2:$N$401),Videos!$N$2:$N$401)),"")</f>
        <v/>
      </c>
      <c r="F30" s="35" t="str">
        <f aca="false" t="array" ref="F30:F30">IFERROR(MEDIAN(IF((Videos!$D$2:$D$401="Largo")*(Videos!$E$2:$E$401="P1")*ISNUMBER(Videos!$R$2:$R$401),Videos!$R$2:$R$401)),"")</f>
        <v/>
      </c>
      <c r="G30" s="1"/>
    </row>
    <row r="31" customFormat="false" ht="15" hidden="false" customHeight="false" outlineLevel="0" collapsed="false">
      <c r="A31" s="1"/>
      <c r="B31" s="14" t="s">
        <v>271</v>
      </c>
      <c r="C31" s="37" t="n">
        <f aca="false">SUMPRODUCT((Videos!$D$2:$D$401="Largo")*(Videos!$E$2:$E$401="P2")*ISNUMBER(Videos!$N$2:$N$401))</f>
        <v>0</v>
      </c>
      <c r="D31" s="36" t="str">
        <f aca="false" t="array" ref="D31:D31">IFERROR(MEDIAN(IF((Videos!$D$2:$D$401="Largo")*(Videos!$E$2:$E$401="P2")*ISNUMBER(Videos!$AJ$2:$AJ$401),Videos!$AJ$2:$AJ$401)),"")</f>
        <v/>
      </c>
      <c r="E31" s="31" t="str">
        <f aca="false" t="array" ref="E31:E31">IFERROR(MEDIAN(IF((Videos!$D$2:$D$401="Largo")*(Videos!$E$2:$E$401="P2")*ISNUMBER(Videos!$N$2:$N$401),Videos!$N$2:$N$401)),"")</f>
        <v/>
      </c>
      <c r="F31" s="35" t="str">
        <f aca="false" t="array" ref="F31:F31">IFERROR(MEDIAN(IF((Videos!$D$2:$D$401="Largo")*(Videos!$E$2:$E$401="P2")*ISNUMBER(Videos!$R$2:$R$401),Videos!$R$2:$R$401)),"")</f>
        <v/>
      </c>
      <c r="G31" s="1"/>
    </row>
    <row r="32" customFormat="false" ht="15" hidden="false" customHeight="false" outlineLevel="0" collapsed="false">
      <c r="A32" s="1"/>
      <c r="B32" s="14" t="s">
        <v>272</v>
      </c>
      <c r="C32" s="37" t="n">
        <f aca="false">SUMPRODUCT((Videos!$D$2:$D$401="Largo")*(Videos!$E$2:$E$401="P3")*ISNUMBER(Videos!$N$2:$N$401))</f>
        <v>0</v>
      </c>
      <c r="D32" s="36" t="str">
        <f aca="false" t="array" ref="D32:D32">IFERROR(MEDIAN(IF((Videos!$D$2:$D$401="Largo")*(Videos!$E$2:$E$401="P3")*ISNUMBER(Videos!$AJ$2:$AJ$401),Videos!$AJ$2:$AJ$401)),"")</f>
        <v/>
      </c>
      <c r="E32" s="31" t="str">
        <f aca="false" t="array" ref="E32:E32">IFERROR(MEDIAN(IF((Videos!$D$2:$D$401="Largo")*(Videos!$E$2:$E$401="P3")*ISNUMBER(Videos!$N$2:$N$401),Videos!$N$2:$N$401)),"")</f>
        <v/>
      </c>
      <c r="F32" s="35" t="str">
        <f aca="false" t="array" ref="F32:F32">IFERROR(MEDIAN(IF((Videos!$D$2:$D$401="Largo")*(Videos!$E$2:$E$401="P3")*ISNUMBER(Videos!$R$2:$R$401),Videos!$R$2:$R$401)),"")</f>
        <v/>
      </c>
      <c r="G32" s="1"/>
    </row>
    <row r="33" customFormat="false" ht="15" hidden="false" customHeight="false" outlineLevel="0" collapsed="false">
      <c r="A33" s="1"/>
      <c r="B33" s="14" t="s">
        <v>273</v>
      </c>
      <c r="C33" s="37" t="n">
        <f aca="false">SUMPRODUCT((Videos!$D$2:$D$401="Largo")*(Videos!$E$2:$E$401="P4")*ISNUMBER(Videos!$N$2:$N$401))</f>
        <v>0</v>
      </c>
      <c r="D33" s="36" t="str">
        <f aca="false" t="array" ref="D33:D33">IFERROR(MEDIAN(IF((Videos!$D$2:$D$401="Largo")*(Videos!$E$2:$E$401="P4")*ISNUMBER(Videos!$AJ$2:$AJ$401),Videos!$AJ$2:$AJ$401)),"")</f>
        <v/>
      </c>
      <c r="E33" s="31" t="str">
        <f aca="false" t="array" ref="E33:E33">IFERROR(MEDIAN(IF((Videos!$D$2:$D$401="Largo")*(Videos!$E$2:$E$401="P4")*ISNUMBER(Videos!$N$2:$N$401),Videos!$N$2:$N$401)),"")</f>
        <v/>
      </c>
      <c r="F33" s="35" t="str">
        <f aca="false" t="array" ref="F33:F33">IFERROR(MEDIAN(IF((Videos!$D$2:$D$401="Largo")*(Videos!$E$2:$E$401="P4")*ISNUMBER(Videos!$R$2:$R$401),Videos!$R$2:$R$401)),"")</f>
        <v/>
      </c>
      <c r="G33" s="1"/>
    </row>
    <row r="34" customFormat="false" ht="15" hidden="false" customHeight="false" outlineLevel="0" collapsed="false">
      <c r="A34" s="1"/>
      <c r="B34" s="29" t="s">
        <v>274</v>
      </c>
      <c r="C34" s="1"/>
      <c r="D34" s="1"/>
      <c r="E34" s="1"/>
      <c r="F34" s="1"/>
      <c r="G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" hidden="false" customHeight="false" outlineLevel="0" collapsed="false">
      <c r="A36" s="1"/>
      <c r="B36" s="20" t="s">
        <v>275</v>
      </c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4" t="s">
        <v>276</v>
      </c>
      <c r="C37" s="38" t="n">
        <v>0</v>
      </c>
      <c r="D37" s="1"/>
      <c r="E37" s="1"/>
      <c r="F37" s="1"/>
      <c r="G37" s="29" t="s">
        <v>277</v>
      </c>
    </row>
    <row r="38" customFormat="false" ht="15" hidden="false" customHeight="false" outlineLevel="0" collapsed="false">
      <c r="A38" s="1"/>
      <c r="B38" s="14" t="s">
        <v>278</v>
      </c>
      <c r="C38" s="38" t="n">
        <v>0</v>
      </c>
      <c r="D38" s="1"/>
      <c r="E38" s="1"/>
      <c r="F38" s="1"/>
      <c r="G38" s="1"/>
    </row>
    <row r="39" customFormat="false" ht="15" hidden="false" customHeight="false" outlineLevel="0" collapsed="false">
      <c r="A39" s="1"/>
      <c r="B39" s="14" t="s">
        <v>279</v>
      </c>
      <c r="C39" s="38" t="n">
        <v>0</v>
      </c>
      <c r="D39" s="1"/>
      <c r="E39" s="1"/>
      <c r="F39" s="1"/>
      <c r="G39" s="1"/>
    </row>
    <row r="40" customFormat="false" ht="15" hidden="false" customHeight="false" outlineLevel="0" collapsed="false">
      <c r="A40" s="1"/>
      <c r="B40" s="14" t="s">
        <v>280</v>
      </c>
      <c r="C40" s="39" t="n">
        <v>0</v>
      </c>
      <c r="D40" s="1"/>
      <c r="E40" s="1"/>
      <c r="F40" s="1"/>
      <c r="G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</row>
    <row r="42" customFormat="false" ht="15" hidden="false" customHeight="false" outlineLevel="0" collapsed="false">
      <c r="A42" s="1"/>
      <c r="B42" s="1"/>
      <c r="C42" s="20" t="s">
        <v>281</v>
      </c>
      <c r="D42" s="20" t="s">
        <v>282</v>
      </c>
      <c r="E42" s="20" t="s">
        <v>283</v>
      </c>
      <c r="F42" s="20" t="s">
        <v>284</v>
      </c>
      <c r="G42" s="20" t="s">
        <v>285</v>
      </c>
    </row>
    <row r="43" customFormat="false" ht="15" hidden="false" customHeight="false" outlineLevel="0" collapsed="false">
      <c r="A43" s="1"/>
      <c r="B43" s="14" t="s">
        <v>286</v>
      </c>
      <c r="C43" s="10" t="n">
        <v>500</v>
      </c>
      <c r="D43" s="10" t="n">
        <v>3000</v>
      </c>
      <c r="E43" s="10" t="n">
        <v>3000000</v>
      </c>
      <c r="F43" s="12" t="n">
        <f aca="false">MIN(1,$C$37/C43)*MIN(1,$C$38/D43)</f>
        <v>0</v>
      </c>
      <c r="G43" s="14" t="s">
        <v>287</v>
      </c>
    </row>
    <row r="44" customFormat="false" ht="15" hidden="false" customHeight="false" outlineLevel="0" collapsed="false">
      <c r="A44" s="1"/>
      <c r="B44" s="14" t="s">
        <v>288</v>
      </c>
      <c r="C44" s="10" t="n">
        <v>1000</v>
      </c>
      <c r="D44" s="10" t="n">
        <v>4000</v>
      </c>
      <c r="E44" s="10" t="n">
        <v>10000000</v>
      </c>
      <c r="F44" s="12" t="n">
        <f aca="false">MIN(1,$C$37/C44)*MIN(1,$C$38/D44)</f>
        <v>0</v>
      </c>
      <c r="G44" s="14" t="s">
        <v>289</v>
      </c>
    </row>
    <row r="45" customFormat="false" ht="15" hidden="false" customHeight="false" outlineLevel="0" collapsed="false">
      <c r="A45" s="1"/>
      <c r="B45" s="14" t="s">
        <v>290</v>
      </c>
      <c r="C45" s="10" t="n">
        <v>1000</v>
      </c>
      <c r="D45" s="10" t="n">
        <v>8000</v>
      </c>
      <c r="E45" s="10" t="n">
        <v>20000000</v>
      </c>
      <c r="F45" s="12" t="n">
        <f aca="false">MIN(1,$C$37/C45)*MIN(1,$C$38/D45)</f>
        <v>0</v>
      </c>
      <c r="G45" s="14" t="s">
        <v>291</v>
      </c>
    </row>
    <row r="46" customFormat="false" ht="15" hidden="false" customHeight="false" outlineLevel="0" collapsed="false">
      <c r="A46" s="1"/>
      <c r="B46" s="29" t="s">
        <v>292</v>
      </c>
      <c r="C46" s="1"/>
      <c r="D46" s="1"/>
      <c r="E46" s="1"/>
      <c r="F46" s="1"/>
      <c r="G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</row>
    <row r="48" customFormat="false" ht="15" hidden="false" customHeight="false" outlineLevel="0" collapsed="false">
      <c r="A48" s="1"/>
      <c r="B48" s="20" t="s">
        <v>293</v>
      </c>
      <c r="C48" s="1"/>
      <c r="D48" s="1"/>
      <c r="E48" s="1"/>
      <c r="F48" s="1"/>
      <c r="G48" s="1"/>
    </row>
    <row r="49" customFormat="false" ht="15" hidden="false" customHeight="false" outlineLevel="0" collapsed="false">
      <c r="A49" s="1"/>
      <c r="B49" s="1"/>
      <c r="C49" s="20" t="s">
        <v>294</v>
      </c>
      <c r="D49" s="20" t="s">
        <v>295</v>
      </c>
      <c r="E49" s="20" t="s">
        <v>296</v>
      </c>
      <c r="F49" s="20" t="s">
        <v>297</v>
      </c>
      <c r="G49" s="1"/>
    </row>
    <row r="50" customFormat="false" ht="15" hidden="false" customHeight="false" outlineLevel="0" collapsed="false">
      <c r="A50" s="1"/>
      <c r="B50" s="14" t="s">
        <v>298</v>
      </c>
      <c r="C50" s="10" t="n">
        <v>2500</v>
      </c>
      <c r="D50" s="10" t="n">
        <v>20000</v>
      </c>
      <c r="E50" s="10" t="n">
        <v>175000</v>
      </c>
      <c r="F50" s="38" t="n">
        <v>0</v>
      </c>
      <c r="G50" s="1"/>
    </row>
    <row r="51" customFormat="false" ht="15" hidden="false" customHeight="false" outlineLevel="0" collapsed="false">
      <c r="A51" s="1"/>
      <c r="B51" s="14" t="s">
        <v>299</v>
      </c>
      <c r="C51" s="10" t="n">
        <v>10000</v>
      </c>
      <c r="D51" s="10" t="n">
        <v>60000</v>
      </c>
      <c r="E51" s="10" t="n">
        <v>450000</v>
      </c>
      <c r="F51" s="38" t="n">
        <v>0</v>
      </c>
      <c r="G51" s="1"/>
    </row>
    <row r="52" customFormat="false" ht="15" hidden="false" customHeight="false" outlineLevel="0" collapsed="false">
      <c r="A52" s="1"/>
      <c r="B52" s="14" t="s">
        <v>300</v>
      </c>
      <c r="C52" s="10" t="n">
        <v>125</v>
      </c>
      <c r="D52" s="10" t="n">
        <v>1170</v>
      </c>
      <c r="E52" s="10" t="n">
        <v>11700</v>
      </c>
      <c r="F52" s="15" t="n">
        <f aca="false">$C$38</f>
        <v>0</v>
      </c>
      <c r="G52" s="1"/>
    </row>
    <row r="53" customFormat="false" ht="15" hidden="false" customHeight="false" outlineLevel="0" collapsed="false">
      <c r="A53" s="1"/>
      <c r="B53" s="14" t="s">
        <v>281</v>
      </c>
      <c r="C53" s="10" t="n">
        <v>22</v>
      </c>
      <c r="D53" s="10" t="n">
        <v>150</v>
      </c>
      <c r="E53" s="10" t="n">
        <v>1240</v>
      </c>
      <c r="F53" s="15" t="n">
        <f aca="false">$C$37</f>
        <v>0</v>
      </c>
      <c r="G53" s="1"/>
    </row>
    <row r="54" customFormat="false" ht="15" hidden="false" customHeight="false" outlineLevel="0" collapsed="false">
      <c r="A54" s="1"/>
      <c r="B54" s="29" t="s">
        <v>301</v>
      </c>
      <c r="C54" s="1"/>
      <c r="D54" s="1"/>
      <c r="E54" s="1"/>
      <c r="F54" s="1"/>
      <c r="G54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11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5" t="s">
        <v>302</v>
      </c>
      <c r="B1" s="5" t="s">
        <v>303</v>
      </c>
      <c r="C1" s="5" t="s">
        <v>304</v>
      </c>
      <c r="D1" s="5" t="s">
        <v>305</v>
      </c>
      <c r="E1" s="5" t="s">
        <v>306</v>
      </c>
      <c r="F1" s="5" t="s">
        <v>307</v>
      </c>
      <c r="G1" s="5" t="s">
        <v>308</v>
      </c>
      <c r="H1" s="5" t="s">
        <v>309</v>
      </c>
      <c r="I1" s="5" t="s">
        <v>310</v>
      </c>
      <c r="J1" s="5" t="s">
        <v>311</v>
      </c>
      <c r="K1" s="5" t="s">
        <v>312</v>
      </c>
      <c r="L1" s="5" t="s">
        <v>313</v>
      </c>
      <c r="M1" s="6" t="s">
        <v>314</v>
      </c>
    </row>
    <row r="2" customFormat="false" ht="15" hidden="false" customHeight="false" outlineLevel="0" collapsed="false">
      <c r="A2" s="7" t="s">
        <v>315</v>
      </c>
      <c r="B2" s="7" t="s">
        <v>316</v>
      </c>
      <c r="C2" s="7" t="s">
        <v>317</v>
      </c>
      <c r="D2" s="10" t="n">
        <v>2010000</v>
      </c>
      <c r="E2" s="10" t="n">
        <v>325024073</v>
      </c>
      <c r="F2" s="7" t="n">
        <v>169</v>
      </c>
      <c r="G2" s="7" t="n">
        <v>0.9</v>
      </c>
      <c r="H2" s="10" t="n">
        <v>1100000</v>
      </c>
      <c r="I2" s="7" t="n">
        <v>11.8</v>
      </c>
      <c r="J2" s="7"/>
      <c r="K2" s="7"/>
      <c r="L2" s="40" t="n">
        <v>0.34</v>
      </c>
      <c r="M2" s="41" t="n">
        <f aca="false">IF(E2&gt;0,D2/E2,"")</f>
        <v>0.0061841573193257</v>
      </c>
    </row>
    <row r="3" customFormat="false" ht="15" hidden="false" customHeight="false" outlineLevel="0" collapsed="false">
      <c r="A3" s="7" t="s">
        <v>318</v>
      </c>
      <c r="B3" s="7" t="s">
        <v>316</v>
      </c>
      <c r="C3" s="7" t="s">
        <v>319</v>
      </c>
      <c r="D3" s="10" t="n">
        <v>540000</v>
      </c>
      <c r="E3" s="10" t="n">
        <v>117486623</v>
      </c>
      <c r="F3" s="7" t="n">
        <v>135</v>
      </c>
      <c r="G3" s="7" t="n">
        <v>1.9</v>
      </c>
      <c r="H3" s="10" t="n">
        <v>465812</v>
      </c>
      <c r="I3" s="7" t="n">
        <v>14.6</v>
      </c>
      <c r="J3" s="7"/>
      <c r="K3" s="7"/>
      <c r="L3" s="40" t="n">
        <v>0.43</v>
      </c>
      <c r="M3" s="41" t="n">
        <f aca="false">IF(E3&gt;0,D3/E3,"")</f>
        <v>0.00459626795128838</v>
      </c>
    </row>
    <row r="4" customFormat="false" ht="15" hidden="false" customHeight="false" outlineLevel="0" collapsed="false">
      <c r="A4" s="7" t="s">
        <v>320</v>
      </c>
      <c r="B4" s="7" t="s">
        <v>321</v>
      </c>
      <c r="C4" s="7" t="s">
        <v>322</v>
      </c>
      <c r="D4" s="10" t="n">
        <v>585000</v>
      </c>
      <c r="E4" s="10" t="n">
        <v>116019540</v>
      </c>
      <c r="F4" s="7" t="n">
        <v>303</v>
      </c>
      <c r="G4" s="7" t="n">
        <v>3.7</v>
      </c>
      <c r="H4" s="10" t="n">
        <v>342000</v>
      </c>
      <c r="I4" s="7" t="n">
        <v>18.1</v>
      </c>
      <c r="J4" s="7" t="n">
        <v>28</v>
      </c>
      <c r="K4" s="7" t="n">
        <v>67</v>
      </c>
      <c r="L4" s="40" t="n">
        <v>0.53</v>
      </c>
      <c r="M4" s="41" t="n">
        <f aca="false">IF(E4&gt;0,D4/E4,"")</f>
        <v>0.00504225408926807</v>
      </c>
    </row>
    <row r="5" customFormat="false" ht="15" hidden="false" customHeight="false" outlineLevel="0" collapsed="false">
      <c r="A5" s="7" t="s">
        <v>323</v>
      </c>
      <c r="B5" s="7" t="s">
        <v>316</v>
      </c>
      <c r="C5" s="7" t="s">
        <v>324</v>
      </c>
      <c r="D5" s="10" t="n">
        <v>130000</v>
      </c>
      <c r="E5" s="10" t="n">
        <v>20794557</v>
      </c>
      <c r="F5" s="7" t="n">
        <v>140</v>
      </c>
      <c r="G5" s="7" t="n">
        <v>2.5</v>
      </c>
      <c r="H5" s="10" t="n">
        <v>27000</v>
      </c>
      <c r="I5" s="7" t="n">
        <v>17.8</v>
      </c>
      <c r="J5" s="7" t="n">
        <v>54</v>
      </c>
      <c r="K5" s="7" t="n">
        <v>119</v>
      </c>
      <c r="L5" s="40" t="n">
        <v>0.6</v>
      </c>
      <c r="M5" s="41" t="n">
        <f aca="false">IF(E5&gt;0,D5/E5,"")</f>
        <v>0.0062516359449254</v>
      </c>
    </row>
    <row r="6" customFormat="false" ht="15" hidden="false" customHeight="false" outlineLevel="0" collapsed="false">
      <c r="A6" s="7" t="s">
        <v>325</v>
      </c>
      <c r="B6" s="7" t="s">
        <v>316</v>
      </c>
      <c r="C6" s="7" t="s">
        <v>326</v>
      </c>
      <c r="D6" s="10" t="n">
        <v>23900</v>
      </c>
      <c r="E6" s="10" t="n">
        <v>7649785</v>
      </c>
      <c r="F6" s="7" t="n">
        <v>56</v>
      </c>
      <c r="G6" s="7" t="n">
        <v>1.3</v>
      </c>
      <c r="H6" s="10" t="n">
        <v>10107</v>
      </c>
      <c r="I6" s="7" t="n">
        <v>12.3</v>
      </c>
      <c r="J6" s="7" t="n">
        <v>55</v>
      </c>
      <c r="K6" s="7" t="n">
        <v>146</v>
      </c>
      <c r="L6" s="40" t="n">
        <v>0.72</v>
      </c>
      <c r="M6" s="41" t="n">
        <f aca="false">IF(E6&gt;0,D6/E6,"")</f>
        <v>0.00312427081283984</v>
      </c>
    </row>
    <row r="7" customFormat="false" ht="15" hidden="false" customHeight="false" outlineLevel="0" collapsed="false">
      <c r="A7" s="7" t="s">
        <v>327</v>
      </c>
      <c r="B7" s="7" t="s">
        <v>321</v>
      </c>
      <c r="C7" s="7" t="s">
        <v>328</v>
      </c>
      <c r="D7" s="10" t="n">
        <v>13800</v>
      </c>
      <c r="E7" s="10" t="n">
        <v>3403346</v>
      </c>
      <c r="F7" s="7" t="n">
        <v>133</v>
      </c>
      <c r="G7" s="7" t="n">
        <v>7</v>
      </c>
      <c r="H7" s="10" t="n">
        <v>7630</v>
      </c>
      <c r="I7" s="7" t="n">
        <v>30</v>
      </c>
      <c r="J7" s="7" t="n">
        <v>23</v>
      </c>
      <c r="K7" s="7" t="n">
        <v>102</v>
      </c>
      <c r="L7" s="40" t="n">
        <v>0.59</v>
      </c>
      <c r="M7" s="41" t="n">
        <f aca="false">IF(E7&gt;0,D7/E7,"")</f>
        <v>0.00405483309660552</v>
      </c>
    </row>
    <row r="8" customFormat="false" ht="15" hidden="false" customHeight="false" outlineLevel="0" collapsed="false">
      <c r="A8" s="7" t="s">
        <v>329</v>
      </c>
      <c r="B8" s="7" t="s">
        <v>330</v>
      </c>
      <c r="C8" s="7" t="s">
        <v>331</v>
      </c>
      <c r="D8" s="10" t="n">
        <v>8670</v>
      </c>
      <c r="E8" s="10" t="n">
        <v>1489127</v>
      </c>
      <c r="F8" s="7" t="n">
        <v>50</v>
      </c>
      <c r="G8" s="7" t="n">
        <v>3.2</v>
      </c>
      <c r="H8" s="10" t="n">
        <v>16090</v>
      </c>
      <c r="I8" s="7" t="n">
        <v>12.4</v>
      </c>
      <c r="J8" s="7" t="n">
        <v>40</v>
      </c>
      <c r="K8" s="7"/>
      <c r="L8" s="40" t="n">
        <v>0.33</v>
      </c>
      <c r="M8" s="41" t="n">
        <f aca="false">IF(E8&gt;0,D8/E8,"")</f>
        <v>0.00582220321033733</v>
      </c>
    </row>
    <row r="9" customFormat="false" ht="15" hidden="false" customHeight="false" outlineLevel="0" collapsed="false">
      <c r="A9" s="7" t="s">
        <v>332</v>
      </c>
      <c r="B9" s="7" t="s">
        <v>316</v>
      </c>
      <c r="C9" s="7" t="s">
        <v>333</v>
      </c>
      <c r="D9" s="10" t="n">
        <v>11700</v>
      </c>
      <c r="E9" s="10" t="n">
        <v>12298392</v>
      </c>
      <c r="F9" s="7" t="n">
        <v>36</v>
      </c>
      <c r="G9" s="7" t="n">
        <v>2.8</v>
      </c>
      <c r="H9" s="10" t="n">
        <v>80895</v>
      </c>
      <c r="I9" s="7" t="n">
        <v>9.7</v>
      </c>
      <c r="J9" s="7" t="n">
        <v>12</v>
      </c>
      <c r="K9" s="7" t="n">
        <v>26</v>
      </c>
      <c r="L9" s="40" t="n">
        <v>0.47</v>
      </c>
      <c r="M9" s="41" t="n">
        <f aca="false">IF(E9&gt;0,D9/E9,"")</f>
        <v>0.000951343883005193</v>
      </c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customFormat="false" ht="15" hidden="false" customHeight="false" outlineLevel="0" collapsed="false">
      <c r="A11" s="29" t="s">
        <v>334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5" t="s">
        <v>335</v>
      </c>
      <c r="B1" s="5" t="s">
        <v>336</v>
      </c>
      <c r="C1" s="5" t="s">
        <v>337</v>
      </c>
      <c r="D1" s="5" t="s">
        <v>338</v>
      </c>
      <c r="E1" s="5" t="s">
        <v>339</v>
      </c>
    </row>
    <row r="2" customFormat="false" ht="26.85" hidden="false" customHeight="false" outlineLevel="0" collapsed="false">
      <c r="A2" s="3" t="s">
        <v>340</v>
      </c>
      <c r="B2" s="3" t="s">
        <v>341</v>
      </c>
      <c r="C2" s="3" t="s">
        <v>342</v>
      </c>
      <c r="D2" s="3" t="s">
        <v>343</v>
      </c>
      <c r="E2" s="3" t="s">
        <v>344</v>
      </c>
    </row>
    <row r="3" customFormat="false" ht="15" hidden="false" customHeight="false" outlineLevel="0" collapsed="false">
      <c r="A3" s="3" t="s">
        <v>35</v>
      </c>
      <c r="B3" s="3" t="s">
        <v>345</v>
      </c>
      <c r="C3" s="3" t="s">
        <v>346</v>
      </c>
      <c r="D3" s="3" t="s">
        <v>347</v>
      </c>
      <c r="E3" s="3" t="s">
        <v>348</v>
      </c>
    </row>
    <row r="4" customFormat="false" ht="15" hidden="false" customHeight="false" outlineLevel="0" collapsed="false">
      <c r="A4" s="3" t="s">
        <v>36</v>
      </c>
      <c r="B4" s="3" t="s">
        <v>349</v>
      </c>
      <c r="C4" s="3" t="s">
        <v>346</v>
      </c>
      <c r="D4" s="3" t="s">
        <v>347</v>
      </c>
      <c r="E4" s="3" t="s">
        <v>348</v>
      </c>
    </row>
    <row r="5" customFormat="false" ht="15" hidden="false" customHeight="false" outlineLevel="0" collapsed="false">
      <c r="A5" s="3" t="s">
        <v>37</v>
      </c>
      <c r="B5" s="3" t="s">
        <v>350</v>
      </c>
      <c r="C5" s="3" t="s">
        <v>346</v>
      </c>
      <c r="D5" s="3" t="s">
        <v>351</v>
      </c>
      <c r="E5" s="3" t="s">
        <v>348</v>
      </c>
    </row>
    <row r="6" customFormat="false" ht="15" hidden="false" customHeight="false" outlineLevel="0" collapsed="false">
      <c r="A6" s="3" t="s">
        <v>38</v>
      </c>
      <c r="B6" s="3" t="s">
        <v>352</v>
      </c>
      <c r="C6" s="3" t="s">
        <v>353</v>
      </c>
      <c r="D6" s="3" t="s">
        <v>354</v>
      </c>
      <c r="E6" s="3" t="s">
        <v>348</v>
      </c>
    </row>
    <row r="7" customFormat="false" ht="26.85" hidden="false" customHeight="false" outlineLevel="0" collapsed="false">
      <c r="A7" s="3" t="s">
        <v>39</v>
      </c>
      <c r="B7" s="3" t="s">
        <v>355</v>
      </c>
      <c r="C7" s="3" t="s">
        <v>346</v>
      </c>
      <c r="D7" s="3" t="s">
        <v>356</v>
      </c>
      <c r="E7" s="3" t="s">
        <v>357</v>
      </c>
    </row>
    <row r="8" customFormat="false" ht="15" hidden="false" customHeight="false" outlineLevel="0" collapsed="false">
      <c r="A8" s="3" t="s">
        <v>40</v>
      </c>
      <c r="B8" s="3" t="s">
        <v>358</v>
      </c>
      <c r="C8" s="3" t="s">
        <v>346</v>
      </c>
      <c r="D8" s="3" t="s">
        <v>351</v>
      </c>
      <c r="E8" s="3" t="s">
        <v>348</v>
      </c>
    </row>
    <row r="9" customFormat="false" ht="15" hidden="false" customHeight="false" outlineLevel="0" collapsed="false">
      <c r="A9" s="3" t="s">
        <v>41</v>
      </c>
      <c r="B9" s="3" t="s">
        <v>359</v>
      </c>
      <c r="C9" s="3" t="s">
        <v>346</v>
      </c>
      <c r="D9" s="3" t="s">
        <v>360</v>
      </c>
      <c r="E9" s="3" t="s">
        <v>348</v>
      </c>
    </row>
    <row r="10" customFormat="false" ht="15" hidden="false" customHeight="false" outlineLevel="0" collapsed="false">
      <c r="A10" s="3" t="s">
        <v>361</v>
      </c>
      <c r="B10" s="3" t="s">
        <v>362</v>
      </c>
      <c r="C10" s="3" t="s">
        <v>346</v>
      </c>
      <c r="D10" s="3" t="s">
        <v>363</v>
      </c>
      <c r="E10" s="3" t="s">
        <v>348</v>
      </c>
    </row>
    <row r="11" customFormat="false" ht="15" hidden="false" customHeight="false" outlineLevel="0" collapsed="false">
      <c r="A11" s="3" t="s">
        <v>364</v>
      </c>
      <c r="B11" s="3" t="s">
        <v>365</v>
      </c>
      <c r="C11" s="3" t="s">
        <v>366</v>
      </c>
      <c r="D11" s="3" t="s">
        <v>367</v>
      </c>
      <c r="E11" s="3" t="s">
        <v>368</v>
      </c>
    </row>
    <row r="12" customFormat="false" ht="15" hidden="false" customHeight="false" outlineLevel="0" collapsed="false">
      <c r="A12" s="3" t="s">
        <v>369</v>
      </c>
      <c r="B12" s="3" t="s">
        <v>370</v>
      </c>
      <c r="C12" s="3" t="s">
        <v>366</v>
      </c>
      <c r="D12" s="3" t="s">
        <v>367</v>
      </c>
      <c r="E12" s="3" t="s">
        <v>371</v>
      </c>
    </row>
    <row r="13" customFormat="false" ht="15" hidden="false" customHeight="false" outlineLevel="0" collapsed="false">
      <c r="A13" s="3" t="s">
        <v>46</v>
      </c>
      <c r="B13" s="3" t="s">
        <v>372</v>
      </c>
      <c r="C13" s="3" t="s">
        <v>373</v>
      </c>
      <c r="D13" s="3" t="s">
        <v>374</v>
      </c>
      <c r="E13" s="3" t="s">
        <v>371</v>
      </c>
    </row>
    <row r="14" customFormat="false" ht="15" hidden="false" customHeight="false" outlineLevel="0" collapsed="false">
      <c r="A14" s="3" t="s">
        <v>47</v>
      </c>
      <c r="B14" s="3" t="s">
        <v>375</v>
      </c>
      <c r="C14" s="3" t="s">
        <v>373</v>
      </c>
      <c r="D14" s="3" t="s">
        <v>376</v>
      </c>
      <c r="E14" s="3" t="s">
        <v>371</v>
      </c>
    </row>
    <row r="15" customFormat="false" ht="26.85" hidden="false" customHeight="false" outlineLevel="0" collapsed="false">
      <c r="A15" s="3" t="s">
        <v>48</v>
      </c>
      <c r="B15" s="3" t="s">
        <v>377</v>
      </c>
      <c r="C15" s="3" t="s">
        <v>346</v>
      </c>
      <c r="D15" s="3" t="s">
        <v>378</v>
      </c>
      <c r="E15" s="3" t="s">
        <v>379</v>
      </c>
    </row>
    <row r="16" customFormat="false" ht="26.85" hidden="false" customHeight="false" outlineLevel="0" collapsed="false">
      <c r="A16" s="3" t="s">
        <v>380</v>
      </c>
      <c r="B16" s="3" t="s">
        <v>381</v>
      </c>
      <c r="C16" s="3" t="s">
        <v>382</v>
      </c>
      <c r="D16" s="3" t="s">
        <v>354</v>
      </c>
      <c r="E16" s="3" t="s">
        <v>383</v>
      </c>
    </row>
    <row r="17" customFormat="false" ht="26.85" hidden="false" customHeight="false" outlineLevel="0" collapsed="false">
      <c r="A17" s="3" t="s">
        <v>58</v>
      </c>
      <c r="B17" s="3" t="s">
        <v>384</v>
      </c>
      <c r="C17" s="3" t="s">
        <v>382</v>
      </c>
      <c r="D17" s="3" t="s">
        <v>354</v>
      </c>
      <c r="E17" s="3" t="s">
        <v>385</v>
      </c>
    </row>
    <row r="18" customFormat="false" ht="15" hidden="false" customHeight="false" outlineLevel="0" collapsed="false">
      <c r="A18" s="1"/>
      <c r="B18" s="1"/>
      <c r="C18" s="1"/>
      <c r="D18" s="1"/>
      <c r="E18" s="1"/>
    </row>
    <row r="19" customFormat="false" ht="15" hidden="false" customHeight="false" outlineLevel="0" collapsed="false">
      <c r="A19" s="29" t="s">
        <v>386</v>
      </c>
      <c r="B19" s="1"/>
      <c r="C19" s="1"/>
      <c r="D19" s="1"/>
      <c r="E1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2026-10-27T17:21:58Z</dcterms:created>
  <dc:creator>openpyxl</dc:creator>
  <dc:description/>
  <dc:language>en-US</dc:language>
  <cp:lastModifiedBy/>
  <dcterms:modified xsi:type="dcterms:W3CDTF">2026-10-27T17:21:59Z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